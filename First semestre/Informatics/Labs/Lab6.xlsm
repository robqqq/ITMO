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Repositories\ITMO\Informatics\Labs\"/>
    </mc:Choice>
  </mc:AlternateContent>
  <xr:revisionPtr revIDLastSave="0" documentId="13_ncr:1_{317A30EE-54F8-4C86-9ADC-51DE4AD138E3}" xr6:coauthVersionLast="45" xr6:coauthVersionMax="45" xr10:uidLastSave="{00000000-0000-0000-0000-000000000000}"/>
  <bookViews>
    <workbookView xWindow="-120" yWindow="-120" windowWidth="20730" windowHeight="11310" firstSheet="8" activeTab="8" xr2:uid="{00000000-000D-0000-FFFF-FFFF00000000}"/>
  </bookViews>
  <sheets>
    <sheet name="А=3" sheetId="1" r:id="rId1"/>
    <sheet name="Справочник(C=1)" sheetId="3" r:id="rId2"/>
    <sheet name="Расчет(C=1)" sheetId="4" r:id="rId3"/>
    <sheet name="Диаграмма(C=1)" sheetId="5" r:id="rId4"/>
    <sheet name="D=3" sheetId="6" r:id="rId5"/>
    <sheet name="auxiliary for D" sheetId="7" r:id="rId6"/>
    <sheet name="Таблица 1(F=2)" sheetId="8" r:id="rId7"/>
    <sheet name="Таблица 2(F=2)" sheetId="9" r:id="rId8"/>
    <sheet name="G=1" sheetId="191" r:id="rId9"/>
  </sheets>
  <definedNames>
    <definedName name="_xlnm._FilterDatabase" localSheetId="4" hidden="1">'D=3'!$A$1:$H$17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7" i="191" l="1"/>
  <c r="A17" i="191"/>
  <c r="I10" i="191"/>
  <c r="A10" i="191"/>
  <c r="I3" i="191"/>
  <c r="N1" i="191" a="1"/>
  <c r="N1" i="191" s="1"/>
  <c r="F1" i="191" a="1"/>
  <c r="F1" i="191" s="1"/>
  <c r="C4" i="8" l="1"/>
  <c r="C5" i="8"/>
  <c r="C6" i="8"/>
  <c r="C7" i="8"/>
  <c r="C8" i="8"/>
  <c r="C9" i="8"/>
  <c r="C10" i="8"/>
  <c r="C11" i="8"/>
  <c r="C12" i="8"/>
  <c r="C13" i="8"/>
  <c r="C3" i="8"/>
  <c r="C14" i="8" l="1"/>
  <c r="I6" i="4"/>
  <c r="I5" i="4"/>
  <c r="F4" i="4"/>
  <c r="F5" i="4"/>
  <c r="F6" i="4"/>
  <c r="F7" i="4"/>
  <c r="F3" i="4"/>
  <c r="F8" i="4" s="1"/>
  <c r="C22" i="1"/>
  <c r="B14" i="1"/>
  <c r="B22" i="1"/>
  <c r="A12" i="1"/>
  <c r="C12" i="1" s="1"/>
  <c r="A13" i="1"/>
  <c r="B13" i="1" s="1"/>
  <c r="A14" i="1"/>
  <c r="C14" i="1" s="1"/>
  <c r="A15" i="1"/>
  <c r="B15" i="1" s="1"/>
  <c r="A16" i="1"/>
  <c r="C16" i="1" s="1"/>
  <c r="A17" i="1"/>
  <c r="C17" i="1" s="1"/>
  <c r="A18" i="1"/>
  <c r="C18" i="1" s="1"/>
  <c r="A19" i="1"/>
  <c r="C19" i="1" s="1"/>
  <c r="A20" i="1"/>
  <c r="C20" i="1" s="1"/>
  <c r="A21" i="1"/>
  <c r="B21" i="1" s="1"/>
  <c r="A22" i="1"/>
  <c r="A23" i="1"/>
  <c r="B23" i="1" s="1"/>
  <c r="A24" i="1"/>
  <c r="C24" i="1" s="1"/>
  <c r="A25" i="1"/>
  <c r="C25" i="1" s="1"/>
  <c r="A26" i="1"/>
  <c r="C26" i="1" s="1"/>
  <c r="A27" i="1"/>
  <c r="C27" i="1" s="1"/>
  <c r="A11" i="1"/>
  <c r="C11" i="1" s="1"/>
  <c r="C23" i="1" l="1"/>
  <c r="C15" i="1"/>
  <c r="F9" i="4"/>
  <c r="F10" i="4"/>
  <c r="F12" i="4"/>
  <c r="F11" i="4"/>
  <c r="F13" i="4" s="1"/>
  <c r="C29" i="1"/>
  <c r="C28" i="1"/>
  <c r="B11" i="1"/>
  <c r="B20" i="1"/>
  <c r="B12" i="1"/>
  <c r="C21" i="1"/>
  <c r="C13" i="1"/>
  <c r="C30" i="1" s="1"/>
  <c r="B27" i="1"/>
  <c r="B19" i="1"/>
  <c r="B26" i="1"/>
  <c r="B18" i="1"/>
  <c r="B25" i="1"/>
  <c r="B17" i="1"/>
  <c r="B24" i="1"/>
  <c r="B16" i="1"/>
  <c r="B30" i="1" l="1"/>
  <c r="B29" i="1"/>
  <c r="B2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<sst xmlns="http://schemas.openxmlformats.org/spreadsheetml/2006/main" count="223" uniqueCount="139">
  <si>
    <t>Минимальное значение аргумента</t>
  </si>
  <si>
    <t>Максимальное значение аргумента</t>
  </si>
  <si>
    <t>Шаг изменения аргумента</t>
  </si>
  <si>
    <t>Искомое значение</t>
  </si>
  <si>
    <t>Расчет выражения на заданном интервале</t>
  </si>
  <si>
    <t>Аргумент Х</t>
  </si>
  <si>
    <t>Значение выражения</t>
  </si>
  <si>
    <t>Максимальное значение выражения</t>
  </si>
  <si>
    <t>Минимальное значение выражения</t>
  </si>
  <si>
    <t>Количество искомых значений</t>
  </si>
  <si>
    <t>при А=1</t>
  </si>
  <si>
    <t>при А=10</t>
  </si>
  <si>
    <t>Параметр</t>
  </si>
  <si>
    <t>Значение</t>
  </si>
  <si>
    <t>Название</t>
  </si>
  <si>
    <t>Директор</t>
  </si>
  <si>
    <t>Сметчик</t>
  </si>
  <si>
    <t>Рентабельность</t>
  </si>
  <si>
    <t>Транспортные расходы</t>
  </si>
  <si>
    <t>Накладные расходы</t>
  </si>
  <si>
    <t>НДС</t>
  </si>
  <si>
    <t>"НОВЫЙ ВЕК"</t>
  </si>
  <si>
    <t>Семёнова А. Н.</t>
  </si>
  <si>
    <t>Кудрин В.В.</t>
  </si>
  <si>
    <t>Смета на проведение работ</t>
  </si>
  <si>
    <t>№ п/п</t>
  </si>
  <si>
    <t>Наименование работы</t>
  </si>
  <si>
    <t>Подготовка помещения</t>
  </si>
  <si>
    <t>Прокладка электролиний</t>
  </si>
  <si>
    <t>Покраска стен</t>
  </si>
  <si>
    <t>Перекраска стен</t>
  </si>
  <si>
    <t>Уборка помещения</t>
  </si>
  <si>
    <r>
      <t>м</t>
    </r>
    <r>
      <rPr>
        <sz val="11"/>
        <color theme="1"/>
        <rFont val="Calibri"/>
        <family val="2"/>
        <charset val="204"/>
      </rPr>
      <t>²</t>
    </r>
  </si>
  <si>
    <t>м²</t>
  </si>
  <si>
    <t>погонный м</t>
  </si>
  <si>
    <t>Ед. изм</t>
  </si>
  <si>
    <t>Кол-во</t>
  </si>
  <si>
    <t>Стоимость ед., руб</t>
  </si>
  <si>
    <t>Общая стоимость</t>
  </si>
  <si>
    <t>Итого прямых затрат:</t>
  </si>
  <si>
    <t>Транспортные расходы:</t>
  </si>
  <si>
    <t>Рентабельность:</t>
  </si>
  <si>
    <t>НДС:</t>
  </si>
  <si>
    <t>Итого:</t>
  </si>
  <si>
    <t>%</t>
  </si>
  <si>
    <t>Смету составил:</t>
  </si>
  <si>
    <t>Смету проверил:</t>
  </si>
  <si>
    <t>Дата:</t>
  </si>
  <si>
    <t>Номер</t>
  </si>
  <si>
    <t>Наименование</t>
  </si>
  <si>
    <t>Характеристика</t>
  </si>
  <si>
    <t>Страна-производитель</t>
  </si>
  <si>
    <t>Материал</t>
  </si>
  <si>
    <t>Дата изготовления</t>
  </si>
  <si>
    <t>Поставщик</t>
  </si>
  <si>
    <t>Цена</t>
  </si>
  <si>
    <t>Винт</t>
  </si>
  <si>
    <t>Резьба цилиндрическая (MJ)</t>
  </si>
  <si>
    <t>Резьба метрическая коническая (MK)</t>
  </si>
  <si>
    <t>Резьба трапецеидальная (Tr)</t>
  </si>
  <si>
    <t>Резьба упорная (S)</t>
  </si>
  <si>
    <t>Гвоздь</t>
  </si>
  <si>
    <t>Строительный</t>
  </si>
  <si>
    <t>Винтовой</t>
  </si>
  <si>
    <t>Дюкерт</t>
  </si>
  <si>
    <t>Гребенчатый</t>
  </si>
  <si>
    <t>Шиферный</t>
  </si>
  <si>
    <t>Шайба</t>
  </si>
  <si>
    <t>Плоская</t>
  </si>
  <si>
    <t>Пружинная</t>
  </si>
  <si>
    <t>Стопорная</t>
  </si>
  <si>
    <t>Коническая</t>
  </si>
  <si>
    <t>Россия</t>
  </si>
  <si>
    <t>Латунь</t>
  </si>
  <si>
    <t>Стройметиз</t>
  </si>
  <si>
    <t>Беларусь</t>
  </si>
  <si>
    <t>КРЕПКО-НАКРЕПКО</t>
  </si>
  <si>
    <t>Сталь</t>
  </si>
  <si>
    <t>Украина</t>
  </si>
  <si>
    <t>Nail</t>
  </si>
  <si>
    <t>М-ЧЕЛ</t>
  </si>
  <si>
    <t>No name</t>
  </si>
  <si>
    <t>Оцинкованная сталь</t>
  </si>
  <si>
    <t>Китай</t>
  </si>
  <si>
    <t>Tech-Krep</t>
  </si>
  <si>
    <t>Метиз-Эксперт</t>
  </si>
  <si>
    <t>Нержавеющая сталь</t>
  </si>
  <si>
    <t>ЦКИ</t>
  </si>
  <si>
    <t>КРЕП-КОМП</t>
  </si>
  <si>
    <t>Италия</t>
  </si>
  <si>
    <t>CONTI</t>
  </si>
  <si>
    <t>Наименование товара</t>
  </si>
  <si>
    <t>Количество, шт</t>
  </si>
  <si>
    <t>Итоговая цена</t>
  </si>
  <si>
    <t>Клавиатура Logitech</t>
  </si>
  <si>
    <t>Накопитель на ЖМД SATA</t>
  </si>
  <si>
    <t>Материнская плата ASRock</t>
  </si>
  <si>
    <t>Корпус Minitower</t>
  </si>
  <si>
    <t>Модуль памяти Kingston</t>
  </si>
  <si>
    <t>Ноутбук Lenovo</t>
  </si>
  <si>
    <t>Мышь Logitech</t>
  </si>
  <si>
    <t>Мышь Microsoft</t>
  </si>
  <si>
    <t>Монитор Acer</t>
  </si>
  <si>
    <t>Принтер Canon</t>
  </si>
  <si>
    <t>Гарнитура Philips</t>
  </si>
  <si>
    <t>ИТОГО:</t>
  </si>
  <si>
    <t>Наименование тоавра</t>
  </si>
  <si>
    <t>Цена, $/шт</t>
  </si>
  <si>
    <t>Дискета Verbatim</t>
  </si>
  <si>
    <t>Принтер Acer</t>
  </si>
  <si>
    <t>Материнская плата Asus</t>
  </si>
  <si>
    <t>Дата</t>
  </si>
  <si>
    <t>День недели</t>
  </si>
  <si>
    <t>№ урока</t>
  </si>
  <si>
    <t>Предмет</t>
  </si>
  <si>
    <t>Домашнее задание</t>
  </si>
  <si>
    <t>Оценка</t>
  </si>
  <si>
    <t>Подпись</t>
  </si>
  <si>
    <t>Номер триместра</t>
  </si>
  <si>
    <t>Понедельник</t>
  </si>
  <si>
    <t>Вторник</t>
  </si>
  <si>
    <t>Среда</t>
  </si>
  <si>
    <t>Четверг</t>
  </si>
  <si>
    <t>Пятница</t>
  </si>
  <si>
    <t>Суббота</t>
  </si>
  <si>
    <t>Информатика</t>
  </si>
  <si>
    <t>Литература</t>
  </si>
  <si>
    <t>История</t>
  </si>
  <si>
    <t>Алгебра</t>
  </si>
  <si>
    <t>Физика</t>
  </si>
  <si>
    <t>Биология</t>
  </si>
  <si>
    <t>Физкультура</t>
  </si>
  <si>
    <t>Геометрия</t>
  </si>
  <si>
    <t>Русский язык</t>
  </si>
  <si>
    <t>Химия</t>
  </si>
  <si>
    <t>География</t>
  </si>
  <si>
    <t>Английский язык</t>
  </si>
  <si>
    <t>Обществознание</t>
  </si>
  <si>
    <t>Черчение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</si>
</sst>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419]d\ mmm;@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gray125">
        <fgColor theme="0" tint="-0.34998626667073579"/>
        <bgColor indexed="65"/>
      </patternFill>
    </fill>
    <fill>
      <patternFill patternType="gray125">
        <fgColor theme="0" tint="-0.499984740745262"/>
        <bgColor auto="1"/>
      </patternFill>
    </fill>
  </fills>
  <borders count="3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81">
    <xf numFmtId="0" fontId="0" fillId="0" borderId="0" xfId="0"/>
    <xf numFmtId="0" fontId="2" fillId="0" borderId="11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6" xfId="0" applyBorder="1"/>
    <xf numFmtId="0" fontId="0" fillId="0" borderId="0" xfId="0" applyBorder="1"/>
    <xf numFmtId="0" fontId="0" fillId="0" borderId="9" xfId="0" applyBorder="1"/>
    <xf numFmtId="0" fontId="0" fillId="0" borderId="10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14" xfId="0" applyBorder="1"/>
    <xf numFmtId="0" fontId="5" fillId="0" borderId="17" xfId="0" applyFont="1" applyBorder="1" applyAlignment="1">
      <alignment wrapText="1"/>
    </xf>
    <xf numFmtId="0" fontId="5" fillId="0" borderId="22" xfId="0" applyFont="1" applyBorder="1" applyAlignment="1">
      <alignment wrapText="1"/>
    </xf>
    <xf numFmtId="0" fontId="5" fillId="0" borderId="14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164" fontId="0" fillId="0" borderId="12" xfId="0" applyNumberFormat="1" applyBorder="1"/>
    <xf numFmtId="164" fontId="0" fillId="0" borderId="7" xfId="0" applyNumberFormat="1" applyBorder="1"/>
    <xf numFmtId="164" fontId="0" fillId="0" borderId="18" xfId="0" applyNumberFormat="1" applyBorder="1"/>
    <xf numFmtId="164" fontId="0" fillId="0" borderId="23" xfId="0" applyNumberFormat="1" applyBorder="1"/>
    <xf numFmtId="164" fontId="0" fillId="0" borderId="16" xfId="0" applyNumberFormat="1" applyBorder="1"/>
    <xf numFmtId="0" fontId="0" fillId="0" borderId="24" xfId="0" applyBorder="1"/>
    <xf numFmtId="0" fontId="0" fillId="0" borderId="25" xfId="0" applyBorder="1"/>
    <xf numFmtId="0" fontId="0" fillId="0" borderId="27" xfId="0" applyBorder="1"/>
    <xf numFmtId="0" fontId="5" fillId="0" borderId="8" xfId="0" applyFont="1" applyBorder="1" applyAlignment="1">
      <alignment horizontal="center"/>
    </xf>
    <xf numFmtId="0" fontId="5" fillId="0" borderId="26" xfId="0" applyFont="1" applyBorder="1" applyAlignment="1">
      <alignment horizontal="center"/>
    </xf>
    <xf numFmtId="0" fontId="0" fillId="0" borderId="16" xfId="0" applyBorder="1" applyAlignment="1">
      <alignment horizontal="right"/>
    </xf>
    <xf numFmtId="0" fontId="0" fillId="0" borderId="29" xfId="0" applyBorder="1"/>
    <xf numFmtId="0" fontId="0" fillId="0" borderId="8" xfId="0" applyBorder="1"/>
    <xf numFmtId="0" fontId="0" fillId="0" borderId="30" xfId="0" applyBorder="1" applyAlignment="1">
      <alignment vertical="center"/>
    </xf>
    <xf numFmtId="0" fontId="0" fillId="0" borderId="30" xfId="0" applyBorder="1" applyAlignment="1">
      <alignment vertical="center" wrapText="1"/>
    </xf>
    <xf numFmtId="0" fontId="0" fillId="0" borderId="26" xfId="0" applyBorder="1" applyAlignment="1">
      <alignment vertical="center" wrapText="1"/>
    </xf>
    <xf numFmtId="0" fontId="0" fillId="0" borderId="31" xfId="0" applyBorder="1"/>
    <xf numFmtId="0" fontId="0" fillId="0" borderId="30" xfId="0" applyBorder="1"/>
    <xf numFmtId="9" fontId="0" fillId="0" borderId="21" xfId="3" applyFont="1" applyBorder="1"/>
    <xf numFmtId="9" fontId="0" fillId="0" borderId="13" xfId="3" applyFont="1" applyBorder="1"/>
    <xf numFmtId="14" fontId="0" fillId="0" borderId="0" xfId="0" applyNumberFormat="1"/>
    <xf numFmtId="0" fontId="7" fillId="0" borderId="0" xfId="1"/>
    <xf numFmtId="0" fontId="8" fillId="0" borderId="0" xfId="2"/>
    <xf numFmtId="0" fontId="2" fillId="0" borderId="16" xfId="0" applyFont="1" applyBorder="1"/>
    <xf numFmtId="0" fontId="0" fillId="0" borderId="16" xfId="0" applyNumberFormat="1" applyBorder="1"/>
    <xf numFmtId="0" fontId="0" fillId="2" borderId="16" xfId="0" applyFill="1" applyBorder="1" applyAlignment="1">
      <alignment horizontal="right"/>
    </xf>
    <xf numFmtId="0" fontId="0" fillId="2" borderId="16" xfId="0" applyFill="1" applyBorder="1"/>
    <xf numFmtId="0" fontId="0" fillId="3" borderId="19" xfId="0" applyFill="1" applyBorder="1"/>
    <xf numFmtId="0" fontId="0" fillId="3" borderId="21" xfId="0" applyFill="1" applyBorder="1"/>
    <xf numFmtId="0" fontId="0" fillId="3" borderId="28" xfId="0" applyFill="1" applyBorder="1"/>
    <xf numFmtId="0" fontId="0" fillId="3" borderId="26" xfId="0" applyFill="1" applyBorder="1"/>
    <xf numFmtId="0" fontId="0" fillId="3" borderId="25" xfId="3" applyNumberFormat="1" applyFont="1" applyFill="1" applyBorder="1"/>
    <xf numFmtId="0" fontId="0" fillId="3" borderId="21" xfId="3" applyNumberFormat="1" applyFont="1" applyFill="1" applyBorder="1"/>
    <xf numFmtId="0" fontId="0" fillId="3" borderId="21" xfId="0" applyNumberFormat="1" applyFill="1" applyBorder="1"/>
    <xf numFmtId="0" fontId="0" fillId="3" borderId="28" xfId="0" applyNumberFormat="1" applyFill="1" applyBorder="1"/>
    <xf numFmtId="0" fontId="0" fillId="3" borderId="0" xfId="0" applyFill="1"/>
    <xf numFmtId="0" fontId="2" fillId="0" borderId="16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 wrapText="1"/>
    </xf>
    <xf numFmtId="0" fontId="9" fillId="0" borderId="0" xfId="0" applyFont="1" applyAlignment="1">
      <alignment horizontal="right"/>
    </xf>
    <xf numFmtId="0" fontId="10" fillId="0" borderId="0" xfId="0" applyFont="1" applyAlignment="1">
      <alignment horizontal="right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4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0" fillId="0" borderId="27" xfId="0" applyBorder="1" applyAlignment="1">
      <alignment horizontal="right"/>
    </xf>
    <xf numFmtId="0" fontId="0" fillId="0" borderId="31" xfId="0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30" xfId="0" applyBorder="1" applyAlignment="1">
      <alignment horizontal="right"/>
    </xf>
    <xf numFmtId="0" fontId="0" fillId="0" borderId="0" xfId="0" applyAlignment="1">
      <alignment horizontal="center"/>
    </xf>
    <xf numFmtId="0" fontId="0" fillId="0" borderId="24" xfId="0" applyBorder="1" applyAlignment="1">
      <alignment horizontal="right"/>
    </xf>
    <xf numFmtId="0" fontId="0" fillId="0" borderId="29" xfId="0" applyBorder="1" applyAlignment="1">
      <alignment horizontal="right"/>
    </xf>
    <xf numFmtId="0" fontId="0" fillId="0" borderId="20" xfId="0" applyBorder="1" applyAlignment="1">
      <alignment horizontal="right"/>
    </xf>
    <xf numFmtId="0" fontId="0" fillId="0" borderId="16" xfId="0" applyBorder="1" applyAlignment="1">
      <alignment horizontal="right"/>
    </xf>
    <xf numFmtId="165" fontId="0" fillId="0" borderId="31" xfId="0" applyNumberFormat="1" applyBorder="1" applyAlignment="1">
      <alignment horizontal="center" vertical="center" textRotation="90"/>
    </xf>
    <xf numFmtId="165" fontId="0" fillId="0" borderId="12" xfId="0" applyNumberFormat="1" applyBorder="1" applyAlignment="1">
      <alignment horizontal="center" vertical="center" textRotation="90"/>
    </xf>
    <xf numFmtId="165" fontId="0" fillId="0" borderId="29" xfId="0" applyNumberFormat="1" applyBorder="1" applyAlignment="1">
      <alignment horizontal="center" vertical="center" textRotation="90"/>
    </xf>
    <xf numFmtId="0" fontId="0" fillId="0" borderId="31" xfId="0" applyBorder="1" applyAlignment="1">
      <alignment horizontal="center" vertical="center" textRotation="90"/>
    </xf>
    <xf numFmtId="0" fontId="0" fillId="0" borderId="12" xfId="0" applyBorder="1" applyAlignment="1">
      <alignment horizontal="center" vertical="center" textRotation="90"/>
    </xf>
    <xf numFmtId="0" fontId="0" fillId="0" borderId="29" xfId="0" applyBorder="1" applyAlignment="1">
      <alignment horizontal="center" vertical="center" textRotation="90"/>
    </xf>
    <xf numFmtId="0" fontId="0" fillId="0" borderId="32" xfId="0" applyBorder="1" applyAlignment="1">
      <alignment horizontal="center"/>
    </xf>
  </cellXfs>
  <cellStyles count="4">
    <cellStyle name="Обычный" xfId="0" builtinId="0"/>
    <cellStyle name="Процентный" xfId="3" builtinId="5"/>
    <cellStyle name="УровеньСтолб_1" xfId="1" builtinId="2" iLevel="0"/>
    <cellStyle name="УровеньСтолб_2" xfId="2" builtinId="2" iLevel="1"/>
  </cellStyles>
  <dxfs count="1">
    <dxf>
      <font>
        <b/>
        <i val="0"/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'Расчет(C=1)'!$A$8</c:f>
              <c:strCache>
                <c:ptCount val="1"/>
                <c:pt idx="0">
                  <c:v>Итого прямых затрат:</c:v>
                </c:pt>
              </c:strCache>
            </c:strRef>
          </c:tx>
          <c:spPr>
            <a:solidFill>
              <a:schemeClr val="accent1"/>
            </a:solidFill>
            <a:ln w="15875" cap="rnd">
              <a:solidFill>
                <a:schemeClr val="tx1"/>
              </a:solidFill>
              <a:round/>
            </a:ln>
            <a:effectLst/>
          </c:spPr>
          <c:invertIfNegative val="0"/>
          <c:cat>
            <c:strLit>
              <c:ptCount val="1"/>
              <c:pt idx="0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('Расчет(C=1)'!$B$8,'Расчет(C=1)'!$F$8)</c15:sqref>
                  </c15:fullRef>
                </c:ext>
              </c:extLst>
              <c:f>'Расчет(C=1)'!$F$8</c:f>
              <c:numCache>
                <c:formatCode>General</c:formatCode>
                <c:ptCount val="1"/>
                <c:pt idx="0">
                  <c:v>25400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656-4F63-8B54-5C4F40DE9494}"/>
            </c:ext>
          </c:extLst>
        </c:ser>
        <c:ser>
          <c:idx val="1"/>
          <c:order val="1"/>
          <c:tx>
            <c:strRef>
              <c:f>'Расчет(C=1)'!$A$9</c:f>
              <c:strCache>
                <c:ptCount val="1"/>
                <c:pt idx="0">
                  <c:v>Транспортные расходы:</c:v>
                </c:pt>
              </c:strCache>
            </c:strRef>
          </c:tx>
          <c:spPr>
            <a:solidFill>
              <a:srgbClr val="7030A0"/>
            </a:solidFill>
            <a:ln w="15875">
              <a:solidFill>
                <a:schemeClr val="tx1"/>
              </a:solidFill>
            </a:ln>
            <a:effectLst/>
          </c:spPr>
          <c:invertIfNegative val="0"/>
          <c:cat>
            <c:strLit>
              <c:ptCount val="1"/>
              <c:pt idx="0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('Расчет(C=1)'!$B$9,'Расчет(C=1)'!$F$9)</c15:sqref>
                  </c15:fullRef>
                </c:ext>
              </c:extLst>
              <c:f>'Расчет(C=1)'!$F$9</c:f>
              <c:numCache>
                <c:formatCode>General</c:formatCode>
                <c:ptCount val="1"/>
                <c:pt idx="0">
                  <c:v>3556.0000000000005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656-4F63-8B54-5C4F40DE9494}"/>
            </c:ext>
          </c:extLst>
        </c:ser>
        <c:ser>
          <c:idx val="2"/>
          <c:order val="2"/>
          <c:tx>
            <c:strRef>
              <c:f>'Расчет(C=1)'!$A$10</c:f>
              <c:strCache>
                <c:ptCount val="1"/>
                <c:pt idx="0">
                  <c:v>Рентабельность:</c:v>
                </c:pt>
              </c:strCache>
            </c:strRef>
          </c:tx>
          <c:spPr>
            <a:solidFill>
              <a:srgbClr val="FFFF00"/>
            </a:solidFill>
            <a:ln w="15875">
              <a:solidFill>
                <a:schemeClr val="tx1"/>
              </a:solidFill>
            </a:ln>
            <a:effectLst/>
          </c:spPr>
          <c:invertIfNegative val="0"/>
          <c:cat>
            <c:strLit>
              <c:ptCount val="1"/>
              <c:pt idx="0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('Расчет(C=1)'!$B$10,'Расчет(C=1)'!$F$10)</c15:sqref>
                  </c15:fullRef>
                </c:ext>
              </c:extLst>
              <c:f>'Расчет(C=1)'!$F$10</c:f>
              <c:numCache>
                <c:formatCode>General</c:formatCode>
                <c:ptCount val="1"/>
                <c:pt idx="0">
                  <c:v>4572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656-4F63-8B54-5C4F40DE9494}"/>
            </c:ext>
          </c:extLst>
        </c:ser>
        <c:ser>
          <c:idx val="3"/>
          <c:order val="3"/>
          <c:tx>
            <c:strRef>
              <c:f>'Расчет(C=1)'!$A$11</c:f>
              <c:strCache>
                <c:ptCount val="1"/>
                <c:pt idx="0">
                  <c:v>Накладные расходы</c:v>
                </c:pt>
              </c:strCache>
            </c:strRef>
          </c:tx>
          <c:spPr>
            <a:solidFill>
              <a:srgbClr val="92D050"/>
            </a:solidFill>
            <a:ln w="15875">
              <a:solidFill>
                <a:schemeClr val="tx1"/>
              </a:solidFill>
            </a:ln>
            <a:effectLst/>
          </c:spPr>
          <c:invertIfNegative val="0"/>
          <c:cat>
            <c:strLit>
              <c:ptCount val="1"/>
              <c:pt idx="0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('Расчет(C=1)'!$B$11,'Расчет(C=1)'!$F$11)</c15:sqref>
                  </c15:fullRef>
                </c:ext>
              </c:extLst>
              <c:f>'Расчет(C=1)'!$F$11</c:f>
              <c:numCache>
                <c:formatCode>General</c:formatCode>
                <c:ptCount val="1"/>
                <c:pt idx="0">
                  <c:v>3302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656-4F63-8B54-5C4F40DE9494}"/>
            </c:ext>
          </c:extLst>
        </c:ser>
        <c:ser>
          <c:idx val="4"/>
          <c:order val="4"/>
          <c:tx>
            <c:strRef>
              <c:f>'Расчет(C=1)'!$A$12</c:f>
              <c:strCache>
                <c:ptCount val="1"/>
                <c:pt idx="0">
                  <c:v>НДС: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5875">
              <a:solidFill>
                <a:schemeClr val="tx1"/>
              </a:solidFill>
            </a:ln>
            <a:effectLst/>
          </c:spPr>
          <c:invertIfNegative val="0"/>
          <c:cat>
            <c:strLit>
              <c:ptCount val="1"/>
              <c:pt idx="0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('Расчет(C=1)'!$B$12,'Расчет(C=1)'!$F$12)</c15:sqref>
                  </c15:fullRef>
                </c:ext>
              </c:extLst>
              <c:f>'Расчет(C=1)'!$F$12</c:f>
              <c:numCache>
                <c:formatCode>General</c:formatCode>
                <c:ptCount val="1"/>
                <c:pt idx="0">
                  <c:v>5080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656-4F63-8B54-5C4F40DE9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867274399"/>
        <c:axId val="1866597823"/>
      </c:barChart>
      <c:catAx>
        <c:axId val="186727439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866597823"/>
        <c:crosses val="autoZero"/>
        <c:auto val="1"/>
        <c:lblAlgn val="ctr"/>
        <c:lblOffset val="100"/>
        <c:noMultiLvlLbl val="0"/>
      </c:catAx>
      <c:valAx>
        <c:axId val="1866597823"/>
        <c:scaling>
          <c:orientation val="minMax"/>
        </c:scaling>
        <c:delete val="0"/>
        <c:axPos val="l"/>
        <c:majorGridlines>
          <c:spPr>
            <a:ln w="15875" cap="flat" cmpd="sng" algn="ctr">
              <a:solidFill>
                <a:sysClr val="windowText" lastClr="000000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67274399"/>
        <c:crosses val="autoZero"/>
        <c:crossBetween val="between"/>
      </c:valAx>
      <c:spPr>
        <a:solidFill>
          <a:schemeClr val="bg2">
            <a:lumMod val="75000"/>
            <a:alpha val="97000"/>
          </a:schemeClr>
        </a:solidFill>
        <a:ln w="15875">
          <a:solidFill>
            <a:sysClr val="windowText" lastClr="000000"/>
          </a:solidFill>
        </a:ln>
        <a:effectLst/>
      </c:spPr>
    </c:plotArea>
    <c:legend>
      <c:legendPos val="b"/>
      <c:layout>
        <c:manualLayout>
          <c:xMode val="edge"/>
          <c:yMode val="edge"/>
          <c:x val="0.13784495994591972"/>
          <c:y val="0.77196008448878306"/>
          <c:w val="0.76729260948375577"/>
          <c:h val="0.20026186529763215"/>
        </c:manualLayout>
      </c:layout>
      <c:overlay val="0"/>
      <c:spPr>
        <a:noFill/>
        <a:ln w="15875"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157161</xdr:colOff>
      <xdr:row>1</xdr:row>
      <xdr:rowOff>4762</xdr:rowOff>
    </xdr:from>
    <xdr:to>
      <xdr:col>8</xdr:col>
      <xdr:colOff>466724</xdr:colOff>
      <xdr:row>12</xdr:row>
      <xdr:rowOff>152400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31C6B7EE-38CC-4404-8620-F7C82C2FDE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1228725</xdr:colOff>
          <xdr:row>23</xdr:row>
          <xdr:rowOff>104775</xdr:rowOff>
        </xdr:from>
        <xdr:to>
          <xdr:col>14</xdr:col>
          <xdr:colOff>571500</xdr:colOff>
          <xdr:row>25</xdr:row>
          <xdr:rowOff>85725</xdr:rowOff>
        </xdr:to>
        <xdr:sp macro="" textlink="">
          <xdr:nvSpPr>
            <xdr:cNvPr id="193537" name="Boom" hidden="1">
              <a:extLst>
                <a:ext uri="{63B3BB69-23CF-44E3-9099-C40C66FF867C}">
                  <a14:compatExt spid="_x0000_s193537"/>
                </a:ext>
                <a:ext uri="{FF2B5EF4-FFF2-40B4-BE49-F238E27FC236}">
                  <a16:creationId xmlns:a16="http://schemas.microsoft.com/office/drawing/2014/main" id="{00000000-0008-0000-0800-000001F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D30"/>
  <sheetViews>
    <sheetView topLeftCell="A4" zoomScaleNormal="100" workbookViewId="0">
      <selection activeCell="E30" sqref="E30"/>
    </sheetView>
  </sheetViews>
  <sheetFormatPr defaultRowHeight="15" x14ac:dyDescent="0.25"/>
  <cols>
    <col min="1" max="1" width="15.7109375" customWidth="1"/>
    <col min="2" max="3" width="19.7109375" customWidth="1"/>
  </cols>
  <sheetData>
    <row r="1" spans="1:3" ht="15.75" thickBot="1" x14ac:dyDescent="0.3"/>
    <row r="2" spans="1:3" x14ac:dyDescent="0.25">
      <c r="A2" s="63" t="s">
        <v>0</v>
      </c>
      <c r="B2" s="63"/>
      <c r="C2" s="3">
        <v>-8</v>
      </c>
    </row>
    <row r="3" spans="1:3" x14ac:dyDescent="0.25">
      <c r="A3" s="63" t="s">
        <v>1</v>
      </c>
      <c r="B3" s="63"/>
      <c r="C3" s="4">
        <v>8</v>
      </c>
    </row>
    <row r="4" spans="1:3" x14ac:dyDescent="0.25">
      <c r="A4" s="63" t="s">
        <v>2</v>
      </c>
      <c r="B4" s="63"/>
      <c r="C4" s="4">
        <v>1</v>
      </c>
    </row>
    <row r="5" spans="1:3" ht="15.75" thickBot="1" x14ac:dyDescent="0.3">
      <c r="A5" s="63" t="s">
        <v>3</v>
      </c>
      <c r="B5" s="63"/>
      <c r="C5" s="5">
        <v>2.6</v>
      </c>
    </row>
    <row r="7" spans="1:3" x14ac:dyDescent="0.25">
      <c r="A7" s="64" t="s">
        <v>4</v>
      </c>
      <c r="B7" s="64"/>
      <c r="C7" s="64"/>
    </row>
    <row r="8" spans="1:3" ht="15.75" thickBot="1" x14ac:dyDescent="0.3"/>
    <row r="9" spans="1:3" x14ac:dyDescent="0.25">
      <c r="A9" s="2" t="s">
        <v>5</v>
      </c>
      <c r="B9" s="61" t="s">
        <v>6</v>
      </c>
      <c r="C9" s="62"/>
    </row>
    <row r="10" spans="1:3" ht="15.75" thickBot="1" x14ac:dyDescent="0.3">
      <c r="A10" s="1"/>
      <c r="B10" s="19" t="s">
        <v>10</v>
      </c>
      <c r="C10" s="20" t="s">
        <v>11</v>
      </c>
    </row>
    <row r="11" spans="1:3" x14ac:dyDescent="0.25">
      <c r="A11" s="8">
        <f>$C$2+(ROW(A11)-ROW($A$11))*$C$4</f>
        <v>-8</v>
      </c>
      <c r="B11" s="21">
        <f>A11/1+1*SIN(A11)*SIN(A11)</f>
        <v>-7.0211702598383079</v>
      </c>
      <c r="C11" s="22">
        <f>A11/10+10*SIN(A11)*SIN(A11)</f>
        <v>8.9882974016169221</v>
      </c>
    </row>
    <row r="12" spans="1:3" x14ac:dyDescent="0.25">
      <c r="A12" s="9">
        <f t="shared" ref="A12:A27" si="0">$C$2+(ROW(A12)-ROW($A$11))*$C$4</f>
        <v>-7</v>
      </c>
      <c r="B12" s="21">
        <f t="shared" ref="B12:B27" si="1">A12/1+1*SIN(A12)*SIN(A12)</f>
        <v>-6.5683686091039171</v>
      </c>
      <c r="C12" s="22">
        <f t="shared" ref="C12:C27" si="2">A12/10+10*SIN(A12)*SIN(A12)</f>
        <v>3.6163139089608318</v>
      </c>
    </row>
    <row r="13" spans="1:3" x14ac:dyDescent="0.25">
      <c r="A13" s="9">
        <f t="shared" si="0"/>
        <v>-6</v>
      </c>
      <c r="B13" s="21">
        <f t="shared" si="1"/>
        <v>-5.9219269793662459</v>
      </c>
      <c r="C13" s="22">
        <f t="shared" si="2"/>
        <v>0.18073020633753945</v>
      </c>
    </row>
    <row r="14" spans="1:3" x14ac:dyDescent="0.25">
      <c r="A14" s="9">
        <f t="shared" si="0"/>
        <v>-5</v>
      </c>
      <c r="B14" s="21">
        <f t="shared" si="1"/>
        <v>-4.0804642354617737</v>
      </c>
      <c r="C14" s="22">
        <f t="shared" si="2"/>
        <v>8.6953576453822627</v>
      </c>
    </row>
    <row r="15" spans="1:3" x14ac:dyDescent="0.25">
      <c r="A15" s="9">
        <f t="shared" si="0"/>
        <v>-4</v>
      </c>
      <c r="B15" s="21">
        <f t="shared" si="1"/>
        <v>-3.4272499830956935</v>
      </c>
      <c r="C15" s="22">
        <f t="shared" si="2"/>
        <v>5.3275001690430672</v>
      </c>
    </row>
    <row r="16" spans="1:3" x14ac:dyDescent="0.25">
      <c r="A16" s="9">
        <f t="shared" si="0"/>
        <v>-3</v>
      </c>
      <c r="B16" s="21">
        <f t="shared" si="1"/>
        <v>-2.9800851433251832</v>
      </c>
      <c r="C16" s="22">
        <f t="shared" si="2"/>
        <v>-0.1008514332518301</v>
      </c>
    </row>
    <row r="17" spans="1:4" x14ac:dyDescent="0.25">
      <c r="A17" s="9">
        <f t="shared" si="0"/>
        <v>-2</v>
      </c>
      <c r="B17" s="21">
        <f t="shared" si="1"/>
        <v>-1.1731781895681941</v>
      </c>
      <c r="C17" s="22">
        <f t="shared" si="2"/>
        <v>8.0682181043180616</v>
      </c>
    </row>
    <row r="18" spans="1:4" x14ac:dyDescent="0.25">
      <c r="A18" s="9">
        <f t="shared" si="0"/>
        <v>-1</v>
      </c>
      <c r="B18" s="21">
        <f t="shared" si="1"/>
        <v>-0.29192658172642882</v>
      </c>
      <c r="C18" s="22">
        <f t="shared" si="2"/>
        <v>6.9807341827357128</v>
      </c>
    </row>
    <row r="19" spans="1:4" x14ac:dyDescent="0.25">
      <c r="A19" s="9">
        <f t="shared" si="0"/>
        <v>0</v>
      </c>
      <c r="B19" s="21">
        <f t="shared" si="1"/>
        <v>0</v>
      </c>
      <c r="C19" s="22">
        <f t="shared" si="2"/>
        <v>0</v>
      </c>
    </row>
    <row r="20" spans="1:4" x14ac:dyDescent="0.25">
      <c r="A20" s="9">
        <f t="shared" si="0"/>
        <v>1</v>
      </c>
      <c r="B20" s="21">
        <f t="shared" si="1"/>
        <v>1.7080734182735711</v>
      </c>
      <c r="C20" s="22">
        <f t="shared" si="2"/>
        <v>7.1807341827357121</v>
      </c>
    </row>
    <row r="21" spans="1:4" x14ac:dyDescent="0.25">
      <c r="A21" s="9">
        <f t="shared" si="0"/>
        <v>2</v>
      </c>
      <c r="B21" s="21">
        <f t="shared" si="1"/>
        <v>2.8268218104318059</v>
      </c>
      <c r="C21" s="22">
        <f t="shared" si="2"/>
        <v>8.4682181043180602</v>
      </c>
    </row>
    <row r="22" spans="1:4" x14ac:dyDescent="0.25">
      <c r="A22" s="9">
        <f t="shared" si="0"/>
        <v>3</v>
      </c>
      <c r="B22" s="21">
        <f t="shared" si="1"/>
        <v>3.0199148566748168</v>
      </c>
      <c r="C22" s="22">
        <f t="shared" si="2"/>
        <v>0.49914856674816988</v>
      </c>
    </row>
    <row r="23" spans="1:4" x14ac:dyDescent="0.25">
      <c r="A23" s="9">
        <f t="shared" si="0"/>
        <v>4</v>
      </c>
      <c r="B23" s="21">
        <f t="shared" si="1"/>
        <v>4.5727500169043065</v>
      </c>
      <c r="C23" s="22">
        <f t="shared" si="2"/>
        <v>6.1275001690430679</v>
      </c>
    </row>
    <row r="24" spans="1:4" x14ac:dyDescent="0.25">
      <c r="A24" s="9">
        <f t="shared" si="0"/>
        <v>5</v>
      </c>
      <c r="B24" s="21">
        <f t="shared" si="1"/>
        <v>5.9195357645382263</v>
      </c>
      <c r="C24" s="22">
        <f t="shared" si="2"/>
        <v>9.6953576453822627</v>
      </c>
    </row>
    <row r="25" spans="1:4" x14ac:dyDescent="0.25">
      <c r="A25" s="9">
        <f t="shared" si="0"/>
        <v>6</v>
      </c>
      <c r="B25" s="21">
        <f t="shared" si="1"/>
        <v>6.0780730206337541</v>
      </c>
      <c r="C25" s="22">
        <f t="shared" si="2"/>
        <v>1.3807302063375393</v>
      </c>
    </row>
    <row r="26" spans="1:4" x14ac:dyDescent="0.25">
      <c r="A26" s="9">
        <f t="shared" si="0"/>
        <v>7</v>
      </c>
      <c r="B26" s="21">
        <f t="shared" si="1"/>
        <v>7.4316313908960829</v>
      </c>
      <c r="C26" s="22">
        <f t="shared" si="2"/>
        <v>5.0163139089608322</v>
      </c>
    </row>
    <row r="27" spans="1:4" ht="15.75" thickBot="1" x14ac:dyDescent="0.3">
      <c r="A27" s="9">
        <f t="shared" si="0"/>
        <v>8</v>
      </c>
      <c r="B27" s="21">
        <f t="shared" si="1"/>
        <v>8.978829740161693</v>
      </c>
      <c r="C27" s="22">
        <f t="shared" si="2"/>
        <v>10.588297401616924</v>
      </c>
    </row>
    <row r="28" spans="1:4" ht="45" customHeight="1" thickBot="1" x14ac:dyDescent="0.3">
      <c r="A28" s="17" t="s">
        <v>7</v>
      </c>
      <c r="B28" s="23">
        <f>MAX(B11:B27)</f>
        <v>8.978829740161693</v>
      </c>
      <c r="C28" s="24">
        <f>MAX(C11:C27)</f>
        <v>10.588297401616924</v>
      </c>
      <c r="D28" s="6"/>
    </row>
    <row r="29" spans="1:4" ht="45" x14ac:dyDescent="0.25">
      <c r="A29" s="17" t="s">
        <v>8</v>
      </c>
      <c r="B29" s="25">
        <f>MIN(B11:B27)</f>
        <v>-7.0211702598383079</v>
      </c>
      <c r="C29" s="25">
        <f>MIN(C11:C27)</f>
        <v>-0.1008514332518301</v>
      </c>
    </row>
    <row r="30" spans="1:4" ht="45" customHeight="1" thickBot="1" x14ac:dyDescent="0.3">
      <c r="A30" s="18" t="s">
        <v>9</v>
      </c>
      <c r="B30" s="16">
        <f>COUNTIF(B11:B27, $C$5)</f>
        <v>0</v>
      </c>
      <c r="C30" s="16">
        <f>COUNTIF(C11:C27, $C$5)</f>
        <v>0</v>
      </c>
    </row>
  </sheetData>
  <mergeCells count="7">
    <mergeCell ref="A9:A10"/>
    <mergeCell ref="B9:C9"/>
    <mergeCell ref="A2:B2"/>
    <mergeCell ref="A3:B3"/>
    <mergeCell ref="A4:B4"/>
    <mergeCell ref="A5:B5"/>
    <mergeCell ref="A7:C7"/>
  </mergeCell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582A8-8AA6-48C9-8667-49F9DA1F4260}">
  <sheetPr codeName="Лист2"/>
  <dimension ref="A1:B10"/>
  <sheetViews>
    <sheetView workbookViewId="0">
      <selection activeCell="E14" sqref="E14"/>
    </sheetView>
  </sheetViews>
  <sheetFormatPr defaultRowHeight="15" x14ac:dyDescent="0.25"/>
  <cols>
    <col min="1" max="1" width="32.28515625" customWidth="1"/>
    <col min="2" max="2" width="17.28515625" customWidth="1"/>
  </cols>
  <sheetData>
    <row r="1" spans="1:2" ht="15.75" thickBot="1" x14ac:dyDescent="0.3"/>
    <row r="2" spans="1:2" ht="15.75" thickBot="1" x14ac:dyDescent="0.3">
      <c r="A2" s="29" t="s">
        <v>12</v>
      </c>
      <c r="B2" s="30" t="s">
        <v>13</v>
      </c>
    </row>
    <row r="3" spans="1:2" x14ac:dyDescent="0.25">
      <c r="A3" s="26" t="s">
        <v>14</v>
      </c>
      <c r="B3" s="27" t="s">
        <v>21</v>
      </c>
    </row>
    <row r="4" spans="1:2" x14ac:dyDescent="0.25">
      <c r="A4" s="13" t="s">
        <v>15</v>
      </c>
      <c r="B4" s="14" t="s">
        <v>22</v>
      </c>
    </row>
    <row r="5" spans="1:2" x14ac:dyDescent="0.25">
      <c r="A5" s="13" t="s">
        <v>16</v>
      </c>
      <c r="B5" s="14" t="s">
        <v>23</v>
      </c>
    </row>
    <row r="6" spans="1:2" x14ac:dyDescent="0.25">
      <c r="A6" s="13" t="s">
        <v>17</v>
      </c>
      <c r="B6" s="39">
        <v>0.18</v>
      </c>
    </row>
    <row r="7" spans="1:2" x14ac:dyDescent="0.25">
      <c r="A7" s="13" t="s">
        <v>18</v>
      </c>
      <c r="B7" s="39">
        <v>0.14000000000000001</v>
      </c>
    </row>
    <row r="8" spans="1:2" x14ac:dyDescent="0.25">
      <c r="A8" s="13" t="s">
        <v>19</v>
      </c>
      <c r="B8" s="39">
        <v>0.13</v>
      </c>
    </row>
    <row r="9" spans="1:2" ht="15.75" thickBot="1" x14ac:dyDescent="0.3">
      <c r="A9" s="15" t="s">
        <v>20</v>
      </c>
      <c r="B9" s="40">
        <v>0.2</v>
      </c>
    </row>
    <row r="10" spans="1:2" x14ac:dyDescent="0.25">
      <c r="A10" s="7"/>
      <c r="B10" s="7"/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5DBAE-7B72-4EF9-9477-848191B39B9D}">
  <sheetPr codeName="Лист3"/>
  <dimension ref="A1:I13"/>
  <sheetViews>
    <sheetView workbookViewId="0">
      <selection activeCell="H12" sqref="H12"/>
    </sheetView>
  </sheetViews>
  <sheetFormatPr defaultRowHeight="15" x14ac:dyDescent="0.25"/>
  <cols>
    <col min="2" max="2" width="25.85546875" customWidth="1"/>
    <col min="3" max="3" width="15" customWidth="1"/>
    <col min="5" max="5" width="12.85546875" customWidth="1"/>
    <col min="6" max="6" width="14.28515625" customWidth="1"/>
    <col min="8" max="8" width="17.140625" customWidth="1"/>
    <col min="9" max="9" width="15.140625" customWidth="1"/>
  </cols>
  <sheetData>
    <row r="1" spans="1:9" ht="15.75" thickBot="1" x14ac:dyDescent="0.3">
      <c r="A1" s="69" t="s">
        <v>24</v>
      </c>
      <c r="B1" s="69"/>
      <c r="C1" s="69"/>
      <c r="D1" s="69"/>
      <c r="E1" s="69"/>
      <c r="F1" s="69"/>
    </row>
    <row r="2" spans="1:9" ht="30.75" customHeight="1" thickBot="1" x14ac:dyDescent="0.3">
      <c r="A2" s="33" t="s">
        <v>25</v>
      </c>
      <c r="B2" s="34" t="s">
        <v>26</v>
      </c>
      <c r="C2" s="34" t="s">
        <v>35</v>
      </c>
      <c r="D2" s="34" t="s">
        <v>36</v>
      </c>
      <c r="E2" s="35" t="s">
        <v>37</v>
      </c>
      <c r="F2" s="36" t="s">
        <v>38</v>
      </c>
    </row>
    <row r="3" spans="1:9" x14ac:dyDescent="0.25">
      <c r="A3" s="11">
        <v>1</v>
      </c>
      <c r="B3" s="12" t="s">
        <v>27</v>
      </c>
      <c r="C3" s="12" t="s">
        <v>32</v>
      </c>
      <c r="D3" s="12">
        <v>30</v>
      </c>
      <c r="E3" s="12">
        <v>100</v>
      </c>
      <c r="F3" s="48">
        <f>D3*E3</f>
        <v>3000</v>
      </c>
    </row>
    <row r="4" spans="1:9" x14ac:dyDescent="0.25">
      <c r="A4" s="13">
        <v>2</v>
      </c>
      <c r="B4" s="10" t="s">
        <v>28</v>
      </c>
      <c r="C4" s="10" t="s">
        <v>34</v>
      </c>
      <c r="D4" s="10">
        <v>14</v>
      </c>
      <c r="E4" s="10">
        <v>600</v>
      </c>
      <c r="F4" s="49">
        <f t="shared" ref="F4:F7" si="0">D4*E4</f>
        <v>8400</v>
      </c>
    </row>
    <row r="5" spans="1:9" x14ac:dyDescent="0.25">
      <c r="A5" s="13">
        <v>3</v>
      </c>
      <c r="B5" s="10" t="s">
        <v>29</v>
      </c>
      <c r="C5" s="10" t="s">
        <v>33</v>
      </c>
      <c r="D5" s="10">
        <v>40</v>
      </c>
      <c r="E5" s="10">
        <v>130</v>
      </c>
      <c r="F5" s="49">
        <f t="shared" si="0"/>
        <v>5200</v>
      </c>
      <c r="H5" t="s">
        <v>45</v>
      </c>
      <c r="I5" s="56" t="str">
        <f>'Справочник(C=1)'!B5</f>
        <v>Кудрин В.В.</v>
      </c>
    </row>
    <row r="6" spans="1:9" x14ac:dyDescent="0.25">
      <c r="A6" s="13">
        <v>4</v>
      </c>
      <c r="B6" s="10" t="s">
        <v>30</v>
      </c>
      <c r="C6" s="10" t="s">
        <v>33</v>
      </c>
      <c r="D6" s="10">
        <v>40</v>
      </c>
      <c r="E6" s="10">
        <v>170</v>
      </c>
      <c r="F6" s="49">
        <f t="shared" si="0"/>
        <v>6800</v>
      </c>
      <c r="H6" t="s">
        <v>46</v>
      </c>
      <c r="I6" s="56" t="str">
        <f>'Справочник(C=1)'!B4</f>
        <v>Семёнова А. Н.</v>
      </c>
    </row>
    <row r="7" spans="1:9" ht="15.75" thickBot="1" x14ac:dyDescent="0.3">
      <c r="A7" s="28">
        <v>5</v>
      </c>
      <c r="B7" s="37" t="s">
        <v>31</v>
      </c>
      <c r="C7" s="37" t="s">
        <v>33</v>
      </c>
      <c r="D7" s="37">
        <v>25</v>
      </c>
      <c r="E7" s="37">
        <v>80</v>
      </c>
      <c r="F7" s="50">
        <f t="shared" si="0"/>
        <v>2000</v>
      </c>
      <c r="H7" t="s">
        <v>47</v>
      </c>
      <c r="I7" s="41">
        <v>44159</v>
      </c>
    </row>
    <row r="8" spans="1:9" ht="15.75" thickBot="1" x14ac:dyDescent="0.3">
      <c r="A8" s="67" t="s">
        <v>39</v>
      </c>
      <c r="B8" s="68"/>
      <c r="C8" s="38"/>
      <c r="D8" s="38"/>
      <c r="E8" s="38"/>
      <c r="F8" s="51">
        <f>SUM(F3:F7)</f>
        <v>25400</v>
      </c>
    </row>
    <row r="9" spans="1:9" x14ac:dyDescent="0.25">
      <c r="A9" s="70" t="s">
        <v>40</v>
      </c>
      <c r="B9" s="71"/>
      <c r="C9" s="32" t="s">
        <v>44</v>
      </c>
      <c r="D9" s="32"/>
      <c r="E9" s="32"/>
      <c r="F9" s="52">
        <f>'Справочник(C=1)'!B7*'Расчет(C=1)'!F8</f>
        <v>3556.0000000000005</v>
      </c>
    </row>
    <row r="10" spans="1:9" x14ac:dyDescent="0.25">
      <c r="A10" s="72" t="s">
        <v>41</v>
      </c>
      <c r="B10" s="73"/>
      <c r="C10" s="10" t="s">
        <v>44</v>
      </c>
      <c r="D10" s="10"/>
      <c r="E10" s="10"/>
      <c r="F10" s="53">
        <f>'Справочник(C=1)'!B6*'Расчет(C=1)'!F8</f>
        <v>4572</v>
      </c>
    </row>
    <row r="11" spans="1:9" x14ac:dyDescent="0.25">
      <c r="A11" s="72" t="s">
        <v>19</v>
      </c>
      <c r="B11" s="73"/>
      <c r="C11" s="10" t="s">
        <v>44</v>
      </c>
      <c r="D11" s="10"/>
      <c r="E11" s="10"/>
      <c r="F11" s="54">
        <f>'Справочник(C=1)'!B8*'Расчет(C=1)'!F8</f>
        <v>3302</v>
      </c>
    </row>
    <row r="12" spans="1:9" ht="15.75" thickBot="1" x14ac:dyDescent="0.3">
      <c r="A12" s="65" t="s">
        <v>42</v>
      </c>
      <c r="B12" s="66"/>
      <c r="C12" s="37" t="s">
        <v>44</v>
      </c>
      <c r="D12" s="37"/>
      <c r="E12" s="37"/>
      <c r="F12" s="55">
        <f>'Справочник(C=1)'!B9*'Расчет(C=1)'!F8</f>
        <v>5080</v>
      </c>
    </row>
    <row r="13" spans="1:9" ht="15.75" thickBot="1" x14ac:dyDescent="0.3">
      <c r="A13" s="67" t="s">
        <v>43</v>
      </c>
      <c r="B13" s="68"/>
      <c r="C13" s="38"/>
      <c r="D13" s="38"/>
      <c r="E13" s="38"/>
      <c r="F13" s="51">
        <f>SUM(F8:F12)</f>
        <v>41910</v>
      </c>
    </row>
  </sheetData>
  <mergeCells count="7">
    <mergeCell ref="A12:B12"/>
    <mergeCell ref="A13:B13"/>
    <mergeCell ref="A1:F1"/>
    <mergeCell ref="A8:B8"/>
    <mergeCell ref="A9:B9"/>
    <mergeCell ref="A10:B10"/>
    <mergeCell ref="A11:B11"/>
  </mergeCells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E438-F103-4AA4-9463-906EA95E6A60}">
  <sheetPr codeName="Лист4"/>
  <dimension ref="A1"/>
  <sheetViews>
    <sheetView zoomScaleNormal="100" workbookViewId="0">
      <selection activeCell="J12" sqref="J12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3835C-44BD-4D88-BE9F-E070FBAA96DB}">
  <sheetPr codeName="Лист5">
    <outlinePr applyStyles="1" summaryBelow="0" summaryRight="0"/>
  </sheetPr>
  <dimension ref="A1:H16"/>
  <sheetViews>
    <sheetView zoomScaleNormal="100" workbookViewId="0">
      <selection activeCell="D14" sqref="D14"/>
    </sheetView>
  </sheetViews>
  <sheetFormatPr defaultRowHeight="15" outlineLevelCol="2" x14ac:dyDescent="0.25"/>
  <cols>
    <col min="1" max="1" width="9.42578125" bestFit="1" customWidth="1"/>
    <col min="2" max="2" width="17.140625" bestFit="1" customWidth="1"/>
    <col min="3" max="3" width="35.85546875" style="42" bestFit="1" customWidth="1"/>
    <col min="4" max="4" width="24.7109375" customWidth="1" outlineLevel="1"/>
    <col min="5" max="5" width="19.85546875" style="43" customWidth="1" outlineLevel="1"/>
    <col min="6" max="6" width="20.7109375" customWidth="1" outlineLevel="2"/>
    <col min="7" max="7" width="18.85546875" customWidth="1" outlineLevel="2"/>
    <col min="8" max="8" width="8" bestFit="1" customWidth="1"/>
  </cols>
  <sheetData>
    <row r="1" spans="1:8" x14ac:dyDescent="0.25">
      <c r="A1" t="s">
        <v>48</v>
      </c>
      <c r="B1" t="s">
        <v>49</v>
      </c>
      <c r="C1" s="42" t="s">
        <v>50</v>
      </c>
      <c r="D1" t="s">
        <v>51</v>
      </c>
      <c r="E1" s="43" t="s">
        <v>52</v>
      </c>
      <c r="F1" t="s">
        <v>53</v>
      </c>
      <c r="G1" t="s">
        <v>54</v>
      </c>
      <c r="H1" t="s">
        <v>55</v>
      </c>
    </row>
    <row r="2" spans="1:8" x14ac:dyDescent="0.25">
      <c r="A2">
        <v>12</v>
      </c>
      <c r="B2" t="s">
        <v>67</v>
      </c>
      <c r="C2" s="42" t="s">
        <v>68</v>
      </c>
      <c r="D2" t="s">
        <v>72</v>
      </c>
      <c r="E2" s="43" t="s">
        <v>82</v>
      </c>
      <c r="F2" s="41">
        <v>44054</v>
      </c>
      <c r="G2" t="s">
        <v>74</v>
      </c>
      <c r="H2">
        <v>308</v>
      </c>
    </row>
    <row r="3" spans="1:8" x14ac:dyDescent="0.25">
      <c r="A3">
        <v>11</v>
      </c>
      <c r="B3" t="s">
        <v>67</v>
      </c>
      <c r="C3" s="42" t="s">
        <v>68</v>
      </c>
      <c r="D3" t="s">
        <v>83</v>
      </c>
      <c r="E3" s="43" t="s">
        <v>82</v>
      </c>
      <c r="F3" s="41">
        <v>44046</v>
      </c>
      <c r="G3" t="s">
        <v>84</v>
      </c>
      <c r="H3">
        <v>245</v>
      </c>
    </row>
    <row r="4" spans="1:8" x14ac:dyDescent="0.25">
      <c r="A4">
        <v>9</v>
      </c>
      <c r="B4" t="s">
        <v>61</v>
      </c>
      <c r="C4" s="42" t="s">
        <v>65</v>
      </c>
      <c r="D4" t="s">
        <v>72</v>
      </c>
      <c r="E4" s="43" t="s">
        <v>77</v>
      </c>
      <c r="F4" s="41">
        <v>43909</v>
      </c>
      <c r="G4" t="s">
        <v>80</v>
      </c>
      <c r="H4">
        <v>25</v>
      </c>
    </row>
    <row r="5" spans="1:8" x14ac:dyDescent="0.25">
      <c r="A5">
        <v>1</v>
      </c>
      <c r="B5" t="s">
        <v>56</v>
      </c>
      <c r="C5" s="42" t="s">
        <v>58</v>
      </c>
      <c r="D5" t="s">
        <v>83</v>
      </c>
      <c r="E5" s="43" t="s">
        <v>82</v>
      </c>
      <c r="F5" s="41">
        <v>43833</v>
      </c>
      <c r="G5" t="s">
        <v>87</v>
      </c>
      <c r="H5">
        <v>1070</v>
      </c>
    </row>
    <row r="6" spans="1:8" x14ac:dyDescent="0.25">
      <c r="A6">
        <v>10</v>
      </c>
      <c r="B6" t="s">
        <v>61</v>
      </c>
      <c r="C6" s="42" t="s">
        <v>66</v>
      </c>
      <c r="D6" t="s">
        <v>72</v>
      </c>
      <c r="E6" s="43" t="s">
        <v>82</v>
      </c>
      <c r="F6" s="41">
        <v>43762</v>
      </c>
      <c r="G6" t="s">
        <v>81</v>
      </c>
      <c r="H6">
        <v>211</v>
      </c>
    </row>
    <row r="7" spans="1:8" x14ac:dyDescent="0.25">
      <c r="A7">
        <v>4</v>
      </c>
      <c r="B7" t="s">
        <v>56</v>
      </c>
      <c r="C7" s="42" t="s">
        <v>59</v>
      </c>
      <c r="D7" t="s">
        <v>89</v>
      </c>
      <c r="E7" s="43" t="s">
        <v>77</v>
      </c>
      <c r="F7" s="41">
        <v>43753</v>
      </c>
      <c r="G7" t="s">
        <v>90</v>
      </c>
      <c r="H7">
        <v>4600</v>
      </c>
    </row>
    <row r="8" spans="1:8" x14ac:dyDescent="0.25">
      <c r="A8">
        <v>13</v>
      </c>
      <c r="B8" t="s">
        <v>67</v>
      </c>
      <c r="C8" s="42" t="s">
        <v>69</v>
      </c>
      <c r="D8" t="s">
        <v>72</v>
      </c>
      <c r="E8" s="43" t="s">
        <v>82</v>
      </c>
      <c r="F8" s="41">
        <v>43713</v>
      </c>
      <c r="G8" t="s">
        <v>85</v>
      </c>
      <c r="H8">
        <v>321</v>
      </c>
    </row>
    <row r="9" spans="1:8" x14ac:dyDescent="0.25">
      <c r="A9">
        <v>5</v>
      </c>
      <c r="B9" t="s">
        <v>56</v>
      </c>
      <c r="C9" s="42" t="s">
        <v>60</v>
      </c>
      <c r="D9" t="s">
        <v>72</v>
      </c>
      <c r="E9" s="43" t="s">
        <v>73</v>
      </c>
      <c r="F9" s="41">
        <v>43700</v>
      </c>
      <c r="G9" t="s">
        <v>74</v>
      </c>
      <c r="H9">
        <v>2630</v>
      </c>
    </row>
    <row r="10" spans="1:8" x14ac:dyDescent="0.25">
      <c r="A10">
        <v>6</v>
      </c>
      <c r="B10" t="s">
        <v>61</v>
      </c>
      <c r="C10" s="42" t="s">
        <v>62</v>
      </c>
      <c r="D10" t="s">
        <v>75</v>
      </c>
      <c r="E10" s="43" t="s">
        <v>77</v>
      </c>
      <c r="F10" s="41">
        <v>43685</v>
      </c>
      <c r="G10" t="s">
        <v>74</v>
      </c>
      <c r="H10">
        <v>192</v>
      </c>
    </row>
    <row r="11" spans="1:8" x14ac:dyDescent="0.25">
      <c r="A11">
        <v>15</v>
      </c>
      <c r="B11" t="s">
        <v>67</v>
      </c>
      <c r="C11" s="42" t="s">
        <v>71</v>
      </c>
      <c r="D11" t="s">
        <v>83</v>
      </c>
      <c r="E11" s="43" t="s">
        <v>86</v>
      </c>
      <c r="F11" s="41">
        <v>43682</v>
      </c>
      <c r="G11" t="s">
        <v>84</v>
      </c>
      <c r="H11">
        <v>2375</v>
      </c>
    </row>
    <row r="12" spans="1:8" x14ac:dyDescent="0.25">
      <c r="A12">
        <v>3</v>
      </c>
      <c r="B12" t="s">
        <v>56</v>
      </c>
      <c r="C12" s="42" t="s">
        <v>57</v>
      </c>
      <c r="D12" t="s">
        <v>72</v>
      </c>
      <c r="E12" s="43" t="s">
        <v>82</v>
      </c>
      <c r="F12" s="41">
        <v>43580</v>
      </c>
      <c r="G12" t="s">
        <v>87</v>
      </c>
      <c r="H12">
        <v>1780</v>
      </c>
    </row>
    <row r="13" spans="1:8" x14ac:dyDescent="0.25">
      <c r="A13">
        <v>7</v>
      </c>
      <c r="B13" t="s">
        <v>61</v>
      </c>
      <c r="C13" s="42" t="s">
        <v>63</v>
      </c>
      <c r="D13" t="s">
        <v>72</v>
      </c>
      <c r="E13" s="43" t="s">
        <v>77</v>
      </c>
      <c r="F13" s="41">
        <v>43574</v>
      </c>
      <c r="G13" t="s">
        <v>76</v>
      </c>
      <c r="H13">
        <v>187</v>
      </c>
    </row>
    <row r="14" spans="1:8" x14ac:dyDescent="0.25">
      <c r="A14">
        <v>8</v>
      </c>
      <c r="B14" t="s">
        <v>61</v>
      </c>
      <c r="C14" s="42" t="s">
        <v>64</v>
      </c>
      <c r="D14" t="s">
        <v>78</v>
      </c>
      <c r="E14" s="43" t="s">
        <v>82</v>
      </c>
      <c r="F14" s="41">
        <v>43391</v>
      </c>
      <c r="G14" t="s">
        <v>79</v>
      </c>
      <c r="H14">
        <v>266</v>
      </c>
    </row>
    <row r="15" spans="1:8" x14ac:dyDescent="0.25">
      <c r="A15">
        <v>14</v>
      </c>
      <c r="B15" t="s">
        <v>67</v>
      </c>
      <c r="C15" s="42" t="s">
        <v>70</v>
      </c>
      <c r="D15" t="s">
        <v>83</v>
      </c>
      <c r="E15" s="43" t="s">
        <v>82</v>
      </c>
      <c r="F15" s="41">
        <v>43375</v>
      </c>
      <c r="G15" t="s">
        <v>84</v>
      </c>
      <c r="H15">
        <v>828</v>
      </c>
    </row>
    <row r="16" spans="1:8" x14ac:dyDescent="0.25">
      <c r="A16">
        <v>2</v>
      </c>
      <c r="B16" t="s">
        <v>56</v>
      </c>
      <c r="C16" s="42" t="s">
        <v>57</v>
      </c>
      <c r="D16" t="s">
        <v>83</v>
      </c>
      <c r="E16" s="43" t="s">
        <v>86</v>
      </c>
      <c r="F16" s="41">
        <v>43258</v>
      </c>
      <c r="G16" t="s">
        <v>88</v>
      </c>
      <c r="H16">
        <v>865</v>
      </c>
    </row>
  </sheetData>
  <autoFilter ref="A1:H17" xr:uid="{D32C19F4-C7A7-4A40-ADF1-3F4B14C2341C}">
    <sortState xmlns:xlrd2="http://schemas.microsoft.com/office/spreadsheetml/2017/richdata2" ref="A2:H17">
      <sortCondition descending="1" ref="F1:F17"/>
    </sortState>
  </autoFilter>
  <dataValidations count="3">
    <dataValidation type="whole" allowBlank="1" showInputMessage="1" showErrorMessage="1" promptTitle="Номер" prompt="Введите номер от 1 до 15" sqref="A3:A16" xr:uid="{4A01BF21-FEA4-487C-8E3E-CAF3376AD5E5}">
      <formula1>1</formula1>
      <formula2>15</formula2>
    </dataValidation>
    <dataValidation type="whole" allowBlank="1" showInputMessage="1" showErrorMessage="1" errorTitle="Ну номер же" error="Ну нужно натуральное число от 1 до 15, ты справишься" promptTitle="Номер" prompt="Введите номер от 1 до 15" sqref="A2" xr:uid="{2FFB41C1-A688-40BB-ACEA-34ECF118BEA8}">
      <formula1>1</formula1>
      <formula2>15</formula2>
    </dataValidation>
    <dataValidation type="whole" operator="greaterThan" allowBlank="1" showInputMessage="1" showErrorMessage="1" errorTitle="ЦЕЛЫЫЫЫЕ" error="ТАМ ЖЕ БЫЛО НАПИСАНО, ЧТО НУЖНЫ ТОЛЬКО ЦЕЛЫЕ ЗНАЧЕНИЯ, еще учти, что цена не может быть отрицательной" promptTitle="Нужно цену ввести" prompt="Только целые значения" sqref="H2:H16" xr:uid="{066BD35E-F063-45FE-AF73-AF6B0B91B509}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Неправильнооооо" error="Можно брать только из спискааааааа" promptTitle="Материалы" prompt="Там список есть, оттуда нужно выбрать" xr:uid="{6476A609-F207-45D5-BE2E-A123DCABD23C}">
          <x14:formula1>
            <xm:f>'auxiliary for D'!$A$2:$A$5</xm:f>
          </x14:formula1>
          <xm:sqref>E2:E16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E33A4-2893-456A-918A-330E4B94965E}">
  <sheetPr codeName="Лист6"/>
  <dimension ref="A1:A5"/>
  <sheetViews>
    <sheetView workbookViewId="0">
      <selection activeCell="A6" sqref="A6"/>
    </sheetView>
  </sheetViews>
  <sheetFormatPr defaultRowHeight="15" x14ac:dyDescent="0.25"/>
  <cols>
    <col min="1" max="1" width="19.85546875" bestFit="1" customWidth="1"/>
  </cols>
  <sheetData>
    <row r="1" spans="1:1" x14ac:dyDescent="0.25">
      <c r="A1" t="s">
        <v>52</v>
      </c>
    </row>
    <row r="2" spans="1:1" x14ac:dyDescent="0.25">
      <c r="A2" t="s">
        <v>77</v>
      </c>
    </row>
    <row r="3" spans="1:1" x14ac:dyDescent="0.25">
      <c r="A3" t="s">
        <v>82</v>
      </c>
    </row>
    <row r="4" spans="1:1" x14ac:dyDescent="0.25">
      <c r="A4" t="s">
        <v>86</v>
      </c>
    </row>
    <row r="5" spans="1:1" x14ac:dyDescent="0.25">
      <c r="A5" t="s">
        <v>73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83D57-F85D-4BED-BAA6-F4666AA19662}">
  <sheetPr codeName="Лист7"/>
  <dimension ref="A2:C14"/>
  <sheetViews>
    <sheetView zoomScale="115" zoomScaleNormal="115" workbookViewId="0">
      <selection activeCell="C8" sqref="C8"/>
    </sheetView>
  </sheetViews>
  <sheetFormatPr defaultRowHeight="15" x14ac:dyDescent="0.25"/>
  <cols>
    <col min="1" max="1" width="26" bestFit="1" customWidth="1"/>
    <col min="2" max="2" width="15.140625" bestFit="1" customWidth="1"/>
    <col min="3" max="3" width="14.28515625" bestFit="1" customWidth="1"/>
  </cols>
  <sheetData>
    <row r="2" spans="1:3" x14ac:dyDescent="0.25">
      <c r="A2" s="44" t="s">
        <v>91</v>
      </c>
      <c r="B2" s="44" t="s">
        <v>92</v>
      </c>
      <c r="C2" s="44" t="s">
        <v>93</v>
      </c>
    </row>
    <row r="3" spans="1:3" x14ac:dyDescent="0.25">
      <c r="A3" s="10" t="s">
        <v>94</v>
      </c>
      <c r="B3" s="10">
        <v>6</v>
      </c>
      <c r="C3" s="46" t="str">
        <f>IFERROR(VLOOKUP('Таблица 1(F=2)'!A3,'Таблица 2(F=2)'!$A$3:$B$13,2,FALSE)*'Таблица 1(F=2)'!B3, "Нет на рынке")</f>
        <v>Нет на рынке</v>
      </c>
    </row>
    <row r="4" spans="1:3" x14ac:dyDescent="0.25">
      <c r="A4" s="10" t="s">
        <v>95</v>
      </c>
      <c r="B4" s="10">
        <v>2</v>
      </c>
      <c r="C4" s="46">
        <f>IFERROR(VLOOKUP('Таблица 1(F=2)'!A4,'Таблица 2(F=2)'!$A$3:$B$13,2,FALSE)*'Таблица 1(F=2)'!B4, "Нет на рынке")</f>
        <v>310</v>
      </c>
    </row>
    <row r="5" spans="1:3" x14ac:dyDescent="0.25">
      <c r="A5" s="10" t="s">
        <v>96</v>
      </c>
      <c r="B5" s="10">
        <v>1</v>
      </c>
      <c r="C5" s="46" t="str">
        <f>IFERROR(VLOOKUP('Таблица 1(F=2)'!A5,'Таблица 2(F=2)'!$A$3:$B$13,2,FALSE)*'Таблица 1(F=2)'!B5, "Нет на рынке")</f>
        <v>Нет на рынке</v>
      </c>
    </row>
    <row r="6" spans="1:3" x14ac:dyDescent="0.25">
      <c r="A6" s="10" t="s">
        <v>97</v>
      </c>
      <c r="B6" s="10">
        <v>4</v>
      </c>
      <c r="C6" s="46">
        <f>IFERROR(VLOOKUP('Таблица 1(F=2)'!A6,'Таблица 2(F=2)'!$A$3:$B$13,2,FALSE)*'Таблица 1(F=2)'!B6, "Нет на рынке")</f>
        <v>184</v>
      </c>
    </row>
    <row r="7" spans="1:3" x14ac:dyDescent="0.25">
      <c r="A7" s="10" t="s">
        <v>98</v>
      </c>
      <c r="B7" s="10">
        <v>2</v>
      </c>
      <c r="C7" s="46">
        <f>IFERROR(VLOOKUP('Таблица 1(F=2)'!A7,'Таблица 2(F=2)'!$A$3:$B$13,2,FALSE)*'Таблица 1(F=2)'!B7, "Нет на рынке")</f>
        <v>52</v>
      </c>
    </row>
    <row r="8" spans="1:3" x14ac:dyDescent="0.25">
      <c r="A8" s="10" t="s">
        <v>99</v>
      </c>
      <c r="B8" s="10">
        <v>5</v>
      </c>
      <c r="C8" s="46">
        <f>IFERROR(VLOOKUP('Таблица 1(F=2)'!A8,'Таблица 2(F=2)'!$A$3:$B$13,2,FALSE)*'Таблица 1(F=2)'!B8, "Нет на рынке")</f>
        <v>5000</v>
      </c>
    </row>
    <row r="9" spans="1:3" x14ac:dyDescent="0.25">
      <c r="A9" s="10" t="s">
        <v>100</v>
      </c>
      <c r="B9" s="10">
        <v>3</v>
      </c>
      <c r="C9" s="46">
        <f>IFERROR(VLOOKUP('Таблица 1(F=2)'!A9,'Таблица 2(F=2)'!$A$3:$B$13,2,FALSE)*'Таблица 1(F=2)'!B9, "Нет на рынке")</f>
        <v>21</v>
      </c>
    </row>
    <row r="10" spans="1:3" x14ac:dyDescent="0.25">
      <c r="A10" s="10" t="s">
        <v>101</v>
      </c>
      <c r="B10" s="10">
        <v>9</v>
      </c>
      <c r="C10" s="46">
        <f>IFERROR(VLOOKUP('Таблица 1(F=2)'!A10,'Таблица 2(F=2)'!$A$3:$B$13,2,FALSE)*'Таблица 1(F=2)'!B10, "Нет на рынке")</f>
        <v>58.5</v>
      </c>
    </row>
    <row r="11" spans="1:3" x14ac:dyDescent="0.25">
      <c r="A11" s="10" t="s">
        <v>102</v>
      </c>
      <c r="B11" s="10">
        <v>7</v>
      </c>
      <c r="C11" s="46" t="str">
        <f>IFERROR(VLOOKUP('Таблица 1(F=2)'!A11,'Таблица 2(F=2)'!$A$3:$B$13,2,FALSE)*'Таблица 1(F=2)'!B11, "Нет на рынке")</f>
        <v>Нет на рынке</v>
      </c>
    </row>
    <row r="12" spans="1:3" x14ac:dyDescent="0.25">
      <c r="A12" s="10" t="s">
        <v>103</v>
      </c>
      <c r="B12" s="10">
        <v>2</v>
      </c>
      <c r="C12" s="46">
        <f>IFERROR(VLOOKUP('Таблица 1(F=2)'!A12,'Таблица 2(F=2)'!$A$3:$B$13,2,FALSE)*'Таблица 1(F=2)'!B12, "Нет на рынке")</f>
        <v>1000</v>
      </c>
    </row>
    <row r="13" spans="1:3" x14ac:dyDescent="0.25">
      <c r="A13" s="10" t="s">
        <v>104</v>
      </c>
      <c r="B13" s="10">
        <v>1</v>
      </c>
      <c r="C13" s="46">
        <f>IFERROR(VLOOKUP('Таблица 1(F=2)'!A13,'Таблица 2(F=2)'!$A$3:$B$13,2,FALSE)*'Таблица 1(F=2)'!B13, "Нет на рынке")</f>
        <v>19</v>
      </c>
    </row>
    <row r="14" spans="1:3" x14ac:dyDescent="0.25">
      <c r="B14" s="31" t="s">
        <v>105</v>
      </c>
      <c r="C14" s="47">
        <f>SUM(C3:C13)</f>
        <v>6644.5</v>
      </c>
    </row>
  </sheetData>
  <conditionalFormatting sqref="C3:C13">
    <cfRule type="containsText" dxfId="0" priority="1" operator="containsText" text="Нет на рынке">
      <formula>NOT(ISERROR(SEARCH("Нет на рынке",C3)))</formula>
    </cfRule>
  </conditionalFormatting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1ACA2-8015-4BD3-B39A-53C2955BBC96}">
  <sheetPr codeName="Лист8"/>
  <dimension ref="A2:B13"/>
  <sheetViews>
    <sheetView workbookViewId="0">
      <selection activeCell="A13" sqref="A13"/>
    </sheetView>
  </sheetViews>
  <sheetFormatPr defaultRowHeight="15" x14ac:dyDescent="0.25"/>
  <cols>
    <col min="1" max="1" width="25.140625" bestFit="1" customWidth="1"/>
    <col min="2" max="2" width="11" bestFit="1" customWidth="1"/>
  </cols>
  <sheetData>
    <row r="2" spans="1:2" x14ac:dyDescent="0.25">
      <c r="A2" s="44" t="s">
        <v>106</v>
      </c>
      <c r="B2" s="44" t="s">
        <v>107</v>
      </c>
    </row>
    <row r="3" spans="1:2" x14ac:dyDescent="0.25">
      <c r="A3" s="10" t="s">
        <v>95</v>
      </c>
      <c r="B3" s="10">
        <v>155</v>
      </c>
    </row>
    <row r="4" spans="1:2" x14ac:dyDescent="0.25">
      <c r="A4" s="10" t="s">
        <v>98</v>
      </c>
      <c r="B4" s="10">
        <v>26</v>
      </c>
    </row>
    <row r="5" spans="1:2" x14ac:dyDescent="0.25">
      <c r="A5" s="10" t="s">
        <v>99</v>
      </c>
      <c r="B5" s="10">
        <v>1000</v>
      </c>
    </row>
    <row r="6" spans="1:2" x14ac:dyDescent="0.25">
      <c r="A6" s="10" t="s">
        <v>100</v>
      </c>
      <c r="B6" s="10">
        <v>7</v>
      </c>
    </row>
    <row r="7" spans="1:2" x14ac:dyDescent="0.25">
      <c r="A7" s="10" t="s">
        <v>108</v>
      </c>
      <c r="B7" s="45">
        <v>1.5</v>
      </c>
    </row>
    <row r="8" spans="1:2" x14ac:dyDescent="0.25">
      <c r="A8" s="10" t="s">
        <v>103</v>
      </c>
      <c r="B8" s="10">
        <v>500</v>
      </c>
    </row>
    <row r="9" spans="1:2" x14ac:dyDescent="0.25">
      <c r="A9" s="10" t="s">
        <v>109</v>
      </c>
      <c r="B9" s="10">
        <v>450</v>
      </c>
    </row>
    <row r="10" spans="1:2" x14ac:dyDescent="0.25">
      <c r="A10" s="10" t="s">
        <v>110</v>
      </c>
      <c r="B10" s="10">
        <v>53</v>
      </c>
    </row>
    <row r="11" spans="1:2" x14ac:dyDescent="0.25">
      <c r="A11" s="10" t="s">
        <v>104</v>
      </c>
      <c r="B11" s="10">
        <v>19</v>
      </c>
    </row>
    <row r="12" spans="1:2" x14ac:dyDescent="0.25">
      <c r="A12" s="10" t="s">
        <v>97</v>
      </c>
      <c r="B12" s="10">
        <v>46</v>
      </c>
    </row>
    <row r="13" spans="1:2" x14ac:dyDescent="0.25">
      <c r="A13" s="10" t="s">
        <v>101</v>
      </c>
      <c r="B13" s="10">
        <v>6.5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37876-C8AB-4645-ADE6-3C34CEFC718B}">
  <sheetPr codeName="Лист14"/>
  <dimension ref="A1:O22"/>
  <sheetViews>
    <sheetView tabSelected="1" zoomScale="85" zoomScaleNormal="85" workbookViewId="0">
      <selection activeCell="M27" sqref="M27"/>
    </sheetView>
  </sheetViews>
  <sheetFormatPr defaultRowHeight="15" x14ac:dyDescent="0.25"/>
  <cols>
    <col min="1" max="1" width="5.28515625" bestFit="1" customWidth="1"/>
    <col min="3" max="3" width="6.28515625" bestFit="1" customWidth="1"/>
    <col min="4" max="4" width="16.7109375" bestFit="1" customWidth="1"/>
    <col min="5" max="5" width="19.140625" bestFit="1" customWidth="1"/>
    <col min="6" max="6" width="7.85546875" bestFit="1" customWidth="1"/>
    <col min="7" max="7" width="8.7109375" bestFit="1" customWidth="1"/>
    <col min="9" max="9" width="5.28515625" bestFit="1" customWidth="1"/>
    <col min="10" max="10" width="8" bestFit="1" customWidth="1"/>
    <col min="11" max="11" width="6.28515625" bestFit="1" customWidth="1"/>
    <col min="12" max="12" width="16.5703125" bestFit="1" customWidth="1"/>
    <col min="13" max="13" width="19.42578125" bestFit="1" customWidth="1"/>
    <col min="14" max="14" width="7.85546875" bestFit="1" customWidth="1"/>
    <col min="15" max="15" width="8.85546875" bestFit="1" customWidth="1"/>
  </cols>
  <sheetData>
    <row r="1" spans="1:15" x14ac:dyDescent="0.25">
      <c r="D1" s="80" t="s">
        <v>118</v>
      </c>
      <c r="E1" s="80"/>
      <c r="F1" s="59" t="str" cm="1">
        <f t="array" ref="F1">_xlfn.IFS(OR(MONTH(A3)=9, MONTH(A3)=10, MONTH(A3)=11), "       I", OR(MONTH(A3)=12, MONTH(A3)=1, MONTH(A3)=2), "      II", OR(MONTH(A3)=3, MONTH(A3)=4, MONTH(A3)=5), "     III")</f>
        <v xml:space="preserve">       I</v>
      </c>
      <c r="L1" s="80" t="s">
        <v>118</v>
      </c>
      <c r="M1" s="80"/>
      <c r="N1" s="60" t="str" cm="1">
        <f t="array" ref="N1">_xlfn.IFS(OR(MONTH(I3)=9, MONTH(I3)=10, MONTH(I3)=11), "       I", OR(MONTH(I3)=12, MONTH(I3)=1, MONTH(I3)=2), "      II", OR(MONTH(I3)=3, MONTH(I3)=4, MONTH(I3)=5), "     III")</f>
        <v xml:space="preserve">       I</v>
      </c>
    </row>
    <row r="2" spans="1:15" ht="45" customHeight="1" x14ac:dyDescent="0.25">
      <c r="A2" s="57" t="s">
        <v>111</v>
      </c>
      <c r="B2" s="58" t="s">
        <v>112</v>
      </c>
      <c r="C2" s="58" t="s">
        <v>113</v>
      </c>
      <c r="D2" s="57" t="s">
        <v>114</v>
      </c>
      <c r="E2" s="57" t="s">
        <v>115</v>
      </c>
      <c r="F2" s="57" t="s">
        <v>116</v>
      </c>
      <c r="G2" s="57" t="s">
        <v>117</v>
      </c>
      <c r="I2" s="57" t="s">
        <v>111</v>
      </c>
      <c r="J2" s="58" t="s">
        <v>112</v>
      </c>
      <c r="K2" s="58" t="s">
        <v>113</v>
      </c>
      <c r="L2" s="57" t="s">
        <v>114</v>
      </c>
      <c r="M2" s="57" t="s">
        <v>115</v>
      </c>
      <c r="N2" s="57" t="s">
        <v>116</v>
      </c>
      <c r="O2" s="57" t="s">
        <v>117</v>
      </c>
    </row>
    <row r="3" spans="1:15" x14ac:dyDescent="0.25">
      <c r="A3" s="74">
        <v>43710</v>
      </c>
      <c r="B3" s="77" t="s">
        <v>119</v>
      </c>
      <c r="C3" s="10">
        <v>1</v>
      </c>
      <c r="D3" s="10" t="s">
        <v>125</v>
      </c>
      <c r="E3" s="10"/>
      <c r="F3" s="10"/>
      <c r="G3" s="10"/>
      <c r="I3" s="74">
        <f>A3+3</f>
        <v>43713</v>
      </c>
      <c r="J3" s="77" t="s">
        <v>122</v>
      </c>
      <c r="K3" s="10">
        <v>1</v>
      </c>
      <c r="L3" s="10" t="s">
        <v>133</v>
      </c>
      <c r="M3" s="10"/>
      <c r="N3" s="10"/>
      <c r="O3" s="10"/>
    </row>
    <row r="4" spans="1:15" x14ac:dyDescent="0.25">
      <c r="A4" s="75"/>
      <c r="B4" s="78"/>
      <c r="C4" s="10">
        <v>2</v>
      </c>
      <c r="D4" s="10" t="s">
        <v>126</v>
      </c>
      <c r="E4" s="10"/>
      <c r="F4" s="10"/>
      <c r="G4" s="10"/>
      <c r="I4" s="75"/>
      <c r="J4" s="78"/>
      <c r="K4" s="10">
        <v>2</v>
      </c>
      <c r="L4" s="10" t="s">
        <v>126</v>
      </c>
      <c r="M4" s="10"/>
      <c r="N4" s="10"/>
      <c r="O4" s="10"/>
    </row>
    <row r="5" spans="1:15" x14ac:dyDescent="0.25">
      <c r="A5" s="75"/>
      <c r="B5" s="78"/>
      <c r="C5" s="10">
        <v>3</v>
      </c>
      <c r="D5" s="10" t="s">
        <v>127</v>
      </c>
      <c r="E5" s="10"/>
      <c r="F5" s="10"/>
      <c r="G5" s="10"/>
      <c r="I5" s="75"/>
      <c r="J5" s="78"/>
      <c r="K5" s="10">
        <v>3</v>
      </c>
      <c r="L5" s="10" t="s">
        <v>135</v>
      </c>
      <c r="M5" s="10"/>
      <c r="N5" s="10"/>
      <c r="O5" s="10"/>
    </row>
    <row r="6" spans="1:15" x14ac:dyDescent="0.25">
      <c r="A6" s="75"/>
      <c r="B6" s="78"/>
      <c r="C6" s="10">
        <v>4</v>
      </c>
      <c r="D6" s="10" t="s">
        <v>128</v>
      </c>
      <c r="E6" s="10"/>
      <c r="F6" s="10"/>
      <c r="G6" s="10"/>
      <c r="I6" s="75"/>
      <c r="J6" s="78"/>
      <c r="K6" s="10">
        <v>4</v>
      </c>
      <c r="L6" s="10" t="s">
        <v>128</v>
      </c>
      <c r="M6" s="10"/>
      <c r="N6" s="10"/>
      <c r="O6" s="10"/>
    </row>
    <row r="7" spans="1:15" x14ac:dyDescent="0.25">
      <c r="A7" s="75"/>
      <c r="B7" s="78"/>
      <c r="C7" s="10">
        <v>5</v>
      </c>
      <c r="D7" s="10" t="s">
        <v>129</v>
      </c>
      <c r="E7" s="10"/>
      <c r="F7" s="10"/>
      <c r="G7" s="10"/>
      <c r="I7" s="75"/>
      <c r="J7" s="78"/>
      <c r="K7" s="10">
        <v>5</v>
      </c>
      <c r="L7" s="10" t="s">
        <v>138</v>
      </c>
      <c r="M7" s="10"/>
      <c r="N7" s="10"/>
      <c r="O7" s="10"/>
    </row>
    <row r="8" spans="1:15" x14ac:dyDescent="0.25">
      <c r="A8" s="76"/>
      <c r="B8" s="79"/>
      <c r="C8" s="10">
        <v>6</v>
      </c>
      <c r="D8" s="10" t="s">
        <v>130</v>
      </c>
      <c r="E8" s="10"/>
      <c r="F8" s="10"/>
      <c r="G8" s="10"/>
      <c r="I8" s="76"/>
      <c r="J8" s="79"/>
      <c r="K8" s="10">
        <v>6</v>
      </c>
      <c r="L8" s="10" t="s">
        <v>136</v>
      </c>
      <c r="M8" s="10"/>
      <c r="N8" s="10"/>
      <c r="O8" s="10"/>
    </row>
    <row r="10" spans="1:15" x14ac:dyDescent="0.25">
      <c r="A10" s="74">
        <f>A3+1</f>
        <v>43711</v>
      </c>
      <c r="B10" s="77" t="s">
        <v>120</v>
      </c>
      <c r="C10" s="10">
        <v>1</v>
      </c>
      <c r="D10" s="10" t="s">
        <v>131</v>
      </c>
      <c r="E10" s="10"/>
      <c r="F10" s="10"/>
      <c r="G10" s="10"/>
      <c r="I10" s="74">
        <f>A3+4</f>
        <v>43714</v>
      </c>
      <c r="J10" s="77" t="s">
        <v>123</v>
      </c>
      <c r="K10" s="10">
        <v>1</v>
      </c>
      <c r="L10" s="10" t="s">
        <v>125</v>
      </c>
      <c r="M10" s="10"/>
      <c r="N10" s="10"/>
      <c r="O10" s="10"/>
    </row>
    <row r="11" spans="1:15" x14ac:dyDescent="0.25">
      <c r="A11" s="75"/>
      <c r="B11" s="78"/>
      <c r="C11" s="10">
        <v>2</v>
      </c>
      <c r="D11" s="10" t="s">
        <v>132</v>
      </c>
      <c r="E11" s="10"/>
      <c r="F11" s="10"/>
      <c r="G11" s="10"/>
      <c r="I11" s="75"/>
      <c r="J11" s="78"/>
      <c r="K11" s="10">
        <v>2</v>
      </c>
      <c r="L11" s="10" t="s">
        <v>128</v>
      </c>
      <c r="M11" s="10"/>
      <c r="N11" s="10"/>
      <c r="O11" s="10"/>
    </row>
    <row r="12" spans="1:15" x14ac:dyDescent="0.25">
      <c r="A12" s="75"/>
      <c r="B12" s="78"/>
      <c r="C12" s="10">
        <v>3</v>
      </c>
      <c r="D12" s="10" t="s">
        <v>133</v>
      </c>
      <c r="E12" s="10"/>
      <c r="F12" s="10"/>
      <c r="G12" s="10"/>
      <c r="I12" s="75"/>
      <c r="J12" s="78"/>
      <c r="K12" s="10">
        <v>3</v>
      </c>
      <c r="L12" s="10" t="s">
        <v>130</v>
      </c>
      <c r="M12" s="10"/>
      <c r="N12" s="10"/>
      <c r="O12" s="10"/>
    </row>
    <row r="13" spans="1:15" x14ac:dyDescent="0.25">
      <c r="A13" s="75"/>
      <c r="B13" s="78"/>
      <c r="C13" s="10">
        <v>4</v>
      </c>
      <c r="D13" s="10" t="s">
        <v>134</v>
      </c>
      <c r="E13" s="10"/>
      <c r="F13" s="10"/>
      <c r="G13" s="10"/>
      <c r="I13" s="75"/>
      <c r="J13" s="78"/>
      <c r="K13" s="10">
        <v>4</v>
      </c>
      <c r="L13" s="10" t="s">
        <v>131</v>
      </c>
      <c r="M13" s="10"/>
      <c r="N13" s="10"/>
      <c r="O13" s="10"/>
    </row>
    <row r="14" spans="1:15" x14ac:dyDescent="0.25">
      <c r="A14" s="75"/>
      <c r="B14" s="78"/>
      <c r="C14" s="10">
        <v>5</v>
      </c>
      <c r="D14" s="10" t="s">
        <v>135</v>
      </c>
      <c r="E14" s="10"/>
      <c r="F14" s="10"/>
      <c r="G14" s="10"/>
      <c r="I14" s="75"/>
      <c r="J14" s="78"/>
      <c r="K14" s="10">
        <v>5</v>
      </c>
      <c r="L14" s="10" t="s">
        <v>129</v>
      </c>
      <c r="M14" s="10"/>
      <c r="N14" s="10"/>
      <c r="O14" s="10"/>
    </row>
    <row r="15" spans="1:15" x14ac:dyDescent="0.25">
      <c r="A15" s="76"/>
      <c r="B15" s="79"/>
      <c r="C15" s="10">
        <v>6</v>
      </c>
      <c r="D15" s="10" t="s">
        <v>136</v>
      </c>
      <c r="E15" s="10"/>
      <c r="F15" s="10"/>
      <c r="G15" s="10"/>
      <c r="I15" s="76"/>
      <c r="J15" s="79"/>
      <c r="K15" s="10">
        <v>6</v>
      </c>
      <c r="L15" s="10"/>
      <c r="M15" s="10"/>
      <c r="N15" s="10"/>
      <c r="O15" s="10"/>
    </row>
    <row r="17" spans="1:15" x14ac:dyDescent="0.25">
      <c r="A17" s="74">
        <f>A3+2</f>
        <v>43712</v>
      </c>
      <c r="B17" s="77" t="s">
        <v>121</v>
      </c>
      <c r="C17" s="10">
        <v>1</v>
      </c>
      <c r="D17" s="10" t="s">
        <v>128</v>
      </c>
      <c r="E17" s="10"/>
      <c r="F17" s="10"/>
      <c r="G17" s="10"/>
      <c r="I17" s="74">
        <f>A3+5</f>
        <v>43715</v>
      </c>
      <c r="J17" s="77" t="s">
        <v>124</v>
      </c>
      <c r="K17" s="10">
        <v>1</v>
      </c>
      <c r="L17" s="10" t="s">
        <v>132</v>
      </c>
      <c r="M17" s="10"/>
      <c r="N17" s="10"/>
      <c r="O17" s="10"/>
    </row>
    <row r="18" spans="1:15" x14ac:dyDescent="0.25">
      <c r="A18" s="75"/>
      <c r="B18" s="78"/>
      <c r="C18" s="10">
        <v>2</v>
      </c>
      <c r="D18" s="10" t="s">
        <v>129</v>
      </c>
      <c r="E18" s="10"/>
      <c r="F18" s="10"/>
      <c r="G18" s="10"/>
      <c r="I18" s="75"/>
      <c r="J18" s="78"/>
      <c r="K18" s="10">
        <v>2</v>
      </c>
      <c r="L18" s="10" t="s">
        <v>134</v>
      </c>
      <c r="M18" s="10"/>
      <c r="N18" s="10"/>
      <c r="O18" s="10"/>
    </row>
    <row r="19" spans="1:15" x14ac:dyDescent="0.25">
      <c r="A19" s="75"/>
      <c r="B19" s="78"/>
      <c r="C19" s="10">
        <v>3</v>
      </c>
      <c r="D19" s="10" t="s">
        <v>127</v>
      </c>
      <c r="E19" s="10"/>
      <c r="F19" s="10"/>
      <c r="G19" s="10"/>
      <c r="I19" s="75"/>
      <c r="J19" s="78"/>
      <c r="K19" s="10">
        <v>3</v>
      </c>
      <c r="L19" s="10" t="s">
        <v>136</v>
      </c>
      <c r="M19" s="10"/>
      <c r="N19" s="10"/>
      <c r="O19" s="10"/>
    </row>
    <row r="20" spans="1:15" x14ac:dyDescent="0.25">
      <c r="A20" s="75"/>
      <c r="B20" s="78"/>
      <c r="C20" s="10">
        <v>4</v>
      </c>
      <c r="D20" s="10" t="s">
        <v>126</v>
      </c>
      <c r="E20" s="10"/>
      <c r="F20" s="10"/>
      <c r="G20" s="10"/>
      <c r="I20" s="75"/>
      <c r="J20" s="78"/>
      <c r="K20" s="10">
        <v>4</v>
      </c>
      <c r="L20" s="10"/>
      <c r="M20" s="10"/>
      <c r="N20" s="10"/>
      <c r="O20" s="10"/>
    </row>
    <row r="21" spans="1:15" x14ac:dyDescent="0.25">
      <c r="A21" s="75"/>
      <c r="B21" s="78"/>
      <c r="C21" s="10">
        <v>5</v>
      </c>
      <c r="D21" s="10" t="s">
        <v>137</v>
      </c>
      <c r="E21" s="10"/>
      <c r="F21" s="10"/>
      <c r="G21" s="10"/>
      <c r="I21" s="75"/>
      <c r="J21" s="78"/>
      <c r="K21" s="10">
        <v>5</v>
      </c>
      <c r="L21" s="10"/>
      <c r="M21" s="10"/>
      <c r="N21" s="10"/>
      <c r="O21" s="10"/>
    </row>
    <row r="22" spans="1:15" x14ac:dyDescent="0.25">
      <c r="A22" s="76"/>
      <c r="B22" s="79"/>
      <c r="C22" s="10">
        <v>6</v>
      </c>
      <c r="D22" s="10"/>
      <c r="E22" s="10"/>
      <c r="F22" s="10"/>
      <c r="G22" s="10"/>
      <c r="I22" s="76"/>
      <c r="J22" s="79"/>
      <c r="K22" s="10">
        <v>6</v>
      </c>
      <c r="L22" s="10"/>
      <c r="M22" s="10"/>
      <c r="N22" s="10"/>
      <c r="O22" s="10"/>
    </row>
  </sheetData>
  <mergeCells count="14">
    <mergeCell ref="D1:E1"/>
    <mergeCell ref="L1:M1"/>
    <mergeCell ref="A3:A8"/>
    <mergeCell ref="B3:B8"/>
    <mergeCell ref="I3:I8"/>
    <mergeCell ref="J3:J8"/>
    <mergeCell ref="A10:A15"/>
    <mergeCell ref="B10:B15"/>
    <mergeCell ref="I10:I15"/>
    <mergeCell ref="J10:J15"/>
    <mergeCell ref="A17:A22"/>
    <mergeCell ref="B17:B22"/>
    <mergeCell ref="I17:I22"/>
    <mergeCell ref="J17:J2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3537" r:id="rId3" name="Boom">
          <controlPr defaultSize="0" autoLine="0" r:id="rId4">
            <anchor moveWithCells="1">
              <from>
                <xdr:col>12</xdr:col>
                <xdr:colOff>1228725</xdr:colOff>
                <xdr:row>23</xdr:row>
                <xdr:rowOff>104775</xdr:rowOff>
              </from>
              <to>
                <xdr:col>14</xdr:col>
                <xdr:colOff>571500</xdr:colOff>
                <xdr:row>25</xdr:row>
                <xdr:rowOff>85725</xdr:rowOff>
              </to>
            </anchor>
          </controlPr>
        </control>
      </mc:Choice>
      <mc:Fallback>
        <control shapeId="193537" r:id="rId3" name="Boo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А=3</vt:lpstr>
      <vt:lpstr>Справочник(C=1)</vt:lpstr>
      <vt:lpstr>Расчет(C=1)</vt:lpstr>
      <vt:lpstr>Диаграмма(C=1)</vt:lpstr>
      <vt:lpstr>D=3</vt:lpstr>
      <vt:lpstr>auxiliary for D</vt:lpstr>
      <vt:lpstr>Таблица 1(F=2)</vt:lpstr>
      <vt:lpstr>Таблица 2(F=2)</vt:lpstr>
      <vt:lpstr>G=1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RoBQ</dc:creator>
  <cp:lastModifiedBy>RoBQ</cp:lastModifiedBy>
  <dcterms:created xsi:type="dcterms:W3CDTF">2015-06-05T18:19:34Z</dcterms:created>
  <dcterms:modified xsi:type="dcterms:W3CDTF">2020-11-25T15:55:16Z</dcterms:modified>
</cp:coreProperties>
</file>